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2.xml" ContentType="application/vnd.openxmlformats-officedocument.drawing+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Monthly Log" sheetId="2" state="visible" r:id="rId2"/>
    <sheet name="Income" sheetId="3" state="hidden" r:id="rId3"/>
    <sheet name="House Loan" sheetId="4" state="hidden" r:id="rId4"/>
    <sheet name="Insurances" sheetId="5" state="hidden" r:id="rId5"/>
    <sheet name="Subscriptions" sheetId="6" state="hidden" r:id="rId6"/>
    <sheet name="Savings" sheetId="7" state="hidden" r:id="rId7"/>
    <sheet name="Misc." sheetId="8" state="hidden" r:id="rId8"/>
    <sheet name="Summary" sheetId="9" state="hidden" r:id="rId9"/>
    <sheet name="How to Use" sheetId="10" state="hidden" r:id="rId10"/>
  </sheets>
  <definedNames>
    <definedName name="_xlnm._FilterDatabase" localSheetId="1" hidden="1">'Monthly Log'!$A$2:$E$509</definedName>
  </definedNames>
  <calcPr calcId="124519" fullCalcOnLoad="1"/>
</workbook>
</file>

<file path=xl/styles.xml><?xml version="1.0" encoding="utf-8"?>
<styleSheet xmlns="http://schemas.openxmlformats.org/spreadsheetml/2006/main">
  <numFmts count="2">
    <numFmt numFmtId="164" formatCode="YYYY-MM-DD"/>
    <numFmt numFmtId="165" formatCode="#,##0 &quot;kr&quot;"/>
  </numFmts>
  <fonts count="65">
    <font>
      <name val="Calibri"/>
      <family val="2"/>
      <color theme="1"/>
      <sz val="11"/>
      <scheme val="minor"/>
    </font>
    <font>
      <name val="Calibri"/>
      <b val="1"/>
      <color rgb="00FFFFFF"/>
      <sz val="16"/>
    </font>
    <font>
      <name val="Calibri"/>
      <b val="1"/>
      <color rgb="00FFFFFF"/>
      <sz val="11"/>
    </font>
    <font>
      <name val="Calibri"/>
      <sz val="10"/>
    </font>
    <font>
      <name val="Calibri"/>
      <color rgb="00757575"/>
      <sz val="10"/>
    </font>
    <font>
      <name val="Calibri"/>
      <i val="1"/>
      <color rgb="001B5E20"/>
      <sz val="10"/>
    </font>
    <font>
      <name val="Calibri"/>
      <b val="1"/>
      <color rgb="00FFFFFF"/>
      <sz val="10"/>
    </font>
    <font>
      <name val="Calibri"/>
      <color rgb="009E9E9E"/>
      <sz val="10"/>
    </font>
    <font>
      <name val="Calibri"/>
      <color rgb="00212121"/>
      <sz val="10"/>
    </font>
    <font>
      <name val="Calibri"/>
      <i val="1"/>
      <color rgb="000D47A1"/>
      <sz val="10"/>
    </font>
    <font>
      <name val="Calibri"/>
      <color rgb="00616161"/>
      <sz val="10"/>
    </font>
    <font>
      <name val="Calibri"/>
      <color rgb="001565C0"/>
      <sz val="10"/>
    </font>
    <font>
      <name val="Calibri"/>
      <b val="1"/>
      <color rgb="001565C0"/>
      <sz val="10"/>
    </font>
    <font>
      <name val="Calibri"/>
      <i val="1"/>
      <color rgb="004A148C"/>
      <sz val="10"/>
    </font>
    <font>
      <name val="Calibri"/>
      <color rgb="006A1B9A"/>
      <sz val="10"/>
    </font>
    <font>
      <name val="Calibri"/>
      <b val="1"/>
      <color rgb="006A1B9A"/>
      <sz val="10"/>
    </font>
    <font>
      <name val="Calibri"/>
      <i val="1"/>
      <color rgb="00BF360C"/>
      <sz val="10"/>
    </font>
    <font>
      <name val="Calibri"/>
      <color rgb="00E65100"/>
      <sz val="10"/>
    </font>
    <font>
      <name val="Calibri"/>
      <b val="1"/>
      <color rgb="00E65100"/>
      <sz val="10"/>
    </font>
    <font>
      <name val="Calibri"/>
      <i val="1"/>
      <color rgb="00006064"/>
      <sz val="10"/>
    </font>
    <font>
      <name val="Calibri"/>
      <color rgb="0000838F"/>
      <sz val="10"/>
    </font>
    <font>
      <name val="Calibri"/>
      <b val="1"/>
      <color rgb="0000838F"/>
      <sz val="10"/>
    </font>
    <font>
      <name val="Calibri"/>
      <i val="1"/>
      <color rgb="00263238"/>
      <sz val="10"/>
    </font>
    <font>
      <name val="Calibri"/>
      <color rgb="00455A64"/>
      <sz val="10"/>
    </font>
    <font>
      <name val="Calibri"/>
      <b val="1"/>
      <color rgb="00455A64"/>
      <sz val="10"/>
    </font>
    <font>
      <name val="Calibri"/>
      <b val="1"/>
      <color rgb="00FFFFFF"/>
      <sz val="18"/>
    </font>
    <font>
      <name val="Calibri"/>
      <b val="1"/>
      <color rgb="002E7D32"/>
      <sz val="12"/>
    </font>
    <font>
      <name val="Calibri"/>
      <b val="1"/>
      <color rgb="002E7D32"/>
      <sz val="14"/>
    </font>
    <font>
      <name val="Calibri"/>
      <b val="1"/>
      <color rgb="0037474F"/>
      <sz val="12"/>
    </font>
    <font>
      <name val="Calibri"/>
      <b val="1"/>
      <color rgb="0037474F"/>
      <sz val="14"/>
    </font>
    <font>
      <name val="Calibri"/>
      <b val="1"/>
      <color rgb="00C62828"/>
      <sz val="12"/>
    </font>
    <font>
      <name val="Calibri"/>
      <b val="1"/>
      <color rgb="00C62828"/>
      <sz val="14"/>
    </font>
    <font>
      <name val="Calibri"/>
      <b val="1"/>
      <color rgb="001565C0"/>
      <sz val="12"/>
    </font>
    <font>
      <name val="Calibri"/>
      <b val="1"/>
      <color rgb="001565C0"/>
      <sz val="14"/>
    </font>
    <font>
      <name val="Calibri"/>
      <b val="1"/>
      <color rgb="001565C0"/>
      <sz val="11"/>
    </font>
    <font>
      <name val="Calibri"/>
      <color rgb="00212121"/>
      <sz val="11"/>
    </font>
    <font>
      <name val="Calibri"/>
      <color rgb="001565C0"/>
      <sz val="11"/>
    </font>
    <font>
      <name val="Calibri"/>
      <b val="1"/>
      <color rgb="006A1B9A"/>
      <sz val="11"/>
    </font>
    <font>
      <name val="Calibri"/>
      <color rgb="006A1B9A"/>
      <sz val="11"/>
    </font>
    <font>
      <name val="Calibri"/>
      <b val="1"/>
      <color rgb="00E65100"/>
      <sz val="11"/>
    </font>
    <font>
      <name val="Calibri"/>
      <color rgb="00E65100"/>
      <sz val="11"/>
    </font>
    <font>
      <name val="Calibri"/>
      <b val="1"/>
      <color rgb="0000838F"/>
      <sz val="11"/>
    </font>
    <font>
      <name val="Calibri"/>
      <color rgb="0000838F"/>
      <sz val="11"/>
    </font>
    <font>
      <name val="Calibri"/>
      <b val="1"/>
      <color rgb="00455A64"/>
      <sz val="11"/>
    </font>
    <font>
      <name val="Calibri"/>
      <color rgb="00455A64"/>
      <sz val="11"/>
    </font>
    <font>
      <name val="Calibri"/>
      <b val="1"/>
      <sz val="9"/>
    </font>
    <font>
      <name val="Calibri"/>
      <b val="1"/>
      <color rgb="00FFFFFF"/>
      <sz val="22"/>
    </font>
    <font>
      <name val="Calibri"/>
      <i val="1"/>
      <color rgb="0090A4AE"/>
      <sz val="10"/>
    </font>
    <font>
      <name val="Calibri"/>
      <b val="1"/>
      <color rgb="00546E7A"/>
      <sz val="11"/>
    </font>
    <font>
      <name val="Calibri"/>
      <b val="1"/>
      <color rgb="002E7D32"/>
      <sz val="18"/>
    </font>
    <font>
      <name val="Calibri"/>
      <b val="1"/>
      <color rgb="0037474F"/>
      <sz val="18"/>
    </font>
    <font>
      <name val="Calibri"/>
      <b val="1"/>
      <color rgb="00C62828"/>
      <sz val="18"/>
    </font>
    <font>
      <name val="Calibri"/>
      <b val="1"/>
      <color rgb="001565C0"/>
      <sz val="13"/>
    </font>
    <font>
      <name val="Calibri"/>
      <color rgb="00424242"/>
      <sz val="8"/>
    </font>
    <font>
      <name val="Calibri"/>
      <b val="1"/>
      <color rgb="000D47A1"/>
      <sz val="10"/>
    </font>
    <font>
      <name val="Calibri"/>
      <color rgb="00424242"/>
      <sz val="10"/>
    </font>
    <font>
      <name val="Calibri"/>
      <b val="1"/>
      <color rgb="006A1B9A"/>
      <sz val="13"/>
    </font>
    <font>
      <name val="Calibri"/>
      <b val="1"/>
      <color rgb="004A148C"/>
      <sz val="10"/>
    </font>
    <font>
      <name val="Calibri"/>
      <b val="1"/>
      <color rgb="00E65100"/>
      <sz val="13"/>
    </font>
    <font>
      <name val="Calibri"/>
      <b val="1"/>
      <color rgb="00BF360C"/>
      <sz val="10"/>
    </font>
    <font>
      <name val="Calibri"/>
      <b val="1"/>
      <color rgb="0000838F"/>
      <sz val="13"/>
    </font>
    <font>
      <name val="Calibri"/>
      <b val="1"/>
      <color rgb="00006064"/>
      <sz val="10"/>
    </font>
    <font>
      <name val="Calibri"/>
      <b val="1"/>
      <color rgb="00455A64"/>
      <sz val="13"/>
    </font>
    <font>
      <name val="Calibri"/>
      <b val="1"/>
      <color rgb="00263238"/>
      <sz val="10"/>
    </font>
    <font>
      <name val="Calibri"/>
      <b val="1"/>
      <color rgb="00E65100"/>
      <sz val="12"/>
    </font>
  </fonts>
  <fills count="28">
    <fill>
      <patternFill/>
    </fill>
    <fill>
      <patternFill patternType="gray125"/>
    </fill>
    <fill>
      <patternFill patternType="solid">
        <fgColor rgb="00546E7A"/>
      </patternFill>
    </fill>
    <fill>
      <patternFill patternType="solid">
        <fgColor rgb="0037474F"/>
      </patternFill>
    </fill>
    <fill>
      <patternFill patternType="solid">
        <fgColor rgb="00FAFAFA"/>
      </patternFill>
    </fill>
    <fill>
      <patternFill patternType="solid">
        <fgColor rgb="00FFFFFF"/>
      </patternFill>
    </fill>
    <fill>
      <patternFill patternType="solid">
        <fgColor rgb="002E7D32"/>
      </patternFill>
    </fill>
    <fill>
      <patternFill patternType="solid">
        <fgColor rgb="00C8E6C9"/>
      </patternFill>
    </fill>
    <fill>
      <patternFill patternType="solid">
        <fgColor rgb="001B5E20"/>
      </patternFill>
    </fill>
    <fill>
      <patternFill patternType="solid">
        <fgColor rgb="001565C0"/>
      </patternFill>
    </fill>
    <fill>
      <patternFill patternType="solid">
        <fgColor rgb="00BBDEFB"/>
      </patternFill>
    </fill>
    <fill>
      <patternFill patternType="solid">
        <fgColor rgb="000D47A1"/>
      </patternFill>
    </fill>
    <fill>
      <patternFill patternType="solid">
        <fgColor rgb="006A1B9A"/>
      </patternFill>
    </fill>
    <fill>
      <patternFill patternType="solid">
        <fgColor rgb="00E1BEE7"/>
      </patternFill>
    </fill>
    <fill>
      <patternFill patternType="solid">
        <fgColor rgb="004A148C"/>
      </patternFill>
    </fill>
    <fill>
      <patternFill patternType="solid">
        <fgColor rgb="00E65100"/>
      </patternFill>
    </fill>
    <fill>
      <patternFill patternType="solid">
        <fgColor rgb="00FFE0B2"/>
      </patternFill>
    </fill>
    <fill>
      <patternFill patternType="solid">
        <fgColor rgb="00BF360C"/>
      </patternFill>
    </fill>
    <fill>
      <patternFill patternType="solid">
        <fgColor rgb="0000838F"/>
      </patternFill>
    </fill>
    <fill>
      <patternFill patternType="solid">
        <fgColor rgb="00B2EBF2"/>
      </patternFill>
    </fill>
    <fill>
      <patternFill patternType="solid">
        <fgColor rgb="00006064"/>
      </patternFill>
    </fill>
    <fill>
      <patternFill patternType="solid">
        <fgColor rgb="00455A64"/>
      </patternFill>
    </fill>
    <fill>
      <patternFill patternType="solid">
        <fgColor rgb="00CFD8DC"/>
      </patternFill>
    </fill>
    <fill>
      <patternFill patternType="solid">
        <fgColor rgb="00263238"/>
      </patternFill>
    </fill>
    <fill>
      <patternFill patternType="solid">
        <fgColor rgb="00ECEFF1"/>
      </patternFill>
    </fill>
    <fill>
      <patternFill patternType="solid">
        <fgColor rgb="00FFCDD2"/>
      </patternFill>
    </fill>
    <fill>
      <patternFill patternType="solid">
        <fgColor rgb="00FF8F00"/>
      </patternFill>
    </fill>
    <fill>
      <patternFill patternType="solid">
        <fgColor rgb="00FFF8E1"/>
      </patternFill>
    </fill>
  </fills>
  <borders count="3">
    <border>
      <left/>
      <right/>
      <top/>
      <bottom/>
      <diagonal/>
    </border>
    <border>
      <left style="thin">
        <color rgb="00757575"/>
      </left>
      <right style="thin">
        <color rgb="00757575"/>
      </right>
      <top style="thin">
        <color rgb="00757575"/>
      </top>
      <bottom style="medium">
        <color rgb="00424242"/>
      </bottom>
    </border>
    <border>
      <left style="thin">
        <color rgb="00BDBDBD"/>
      </left>
      <right style="thin">
        <color rgb="00BDBDBD"/>
      </right>
      <top style="thin">
        <color rgb="00BDBDBD"/>
      </top>
      <bottom style="thin">
        <color rgb="00BDBDBD"/>
      </bottom>
    </border>
  </borders>
  <cellStyleXfs count="1">
    <xf numFmtId="0" fontId="0" fillId="0" borderId="0"/>
  </cellStyleXfs>
  <cellXfs count="212">
    <xf numFmtId="0" fontId="0" fillId="0" borderId="0" pivotButton="0" quotePrefix="0" xfId="0"/>
    <xf numFmtId="0" fontId="46" fillId="3" borderId="0" applyAlignment="1" pivotButton="0" quotePrefix="0" xfId="0">
      <alignment horizontal="center" vertical="center"/>
    </xf>
    <xf numFmtId="0" fontId="47" fillId="3" borderId="0" applyAlignment="1" pivotButton="0" quotePrefix="0" xfId="0">
      <alignment horizontal="center" vertical="center"/>
    </xf>
    <xf numFmtId="0" fontId="0" fillId="3" borderId="0" pivotButton="0" quotePrefix="0" xfId="0"/>
    <xf numFmtId="0" fontId="0" fillId="24" borderId="0" pivotButton="0" quotePrefix="0" xfId="0"/>
    <xf numFmtId="0" fontId="48" fillId="24" borderId="0" applyAlignment="1" pivotButton="0" quotePrefix="0" xfId="0">
      <alignment horizontal="center" vertical="center"/>
    </xf>
    <xf numFmtId="165" fontId="49" fillId="24" borderId="0" applyAlignment="1" pivotButton="0" quotePrefix="0" xfId="0">
      <alignment horizontal="center" vertical="center"/>
    </xf>
    <xf numFmtId="165" fontId="50" fillId="24" borderId="0" applyAlignment="1" pivotButton="0" quotePrefix="0" xfId="0">
      <alignment horizontal="center" vertical="center"/>
    </xf>
    <xf numFmtId="165" fontId="51" fillId="24" borderId="0" applyAlignment="1" pivotButton="0" quotePrefix="0" xfId="0">
      <alignment horizontal="center" vertical="center"/>
    </xf>
    <xf numFmtId="0" fontId="52" fillId="10" borderId="2" applyAlignment="1" pivotButton="0" quotePrefix="0" xfId="0">
      <alignment horizontal="center" vertical="center"/>
    </xf>
    <xf numFmtId="0" fontId="0" fillId="10" borderId="2" pivotButton="0" quotePrefix="0" xfId="0"/>
    <xf numFmtId="0" fontId="56" fillId="13" borderId="2" applyAlignment="1" pivotButton="0" quotePrefix="0" xfId="0">
      <alignment horizontal="center" vertical="center"/>
    </xf>
    <xf numFmtId="0" fontId="0" fillId="13" borderId="2" pivotButton="0" quotePrefix="0" xfId="0"/>
    <xf numFmtId="0" fontId="53" fillId="0" borderId="0" applyAlignment="1" pivotButton="0" quotePrefix="0" xfId="0">
      <alignment vertical="center"/>
    </xf>
    <xf numFmtId="165" fontId="0" fillId="0" borderId="0" applyAlignment="1" pivotButton="0" quotePrefix="0" xfId="0">
      <alignment vertical="center"/>
    </xf>
    <xf numFmtId="0" fontId="54" fillId="0" borderId="0" applyAlignment="1" pivotButton="0" quotePrefix="0" xfId="0">
      <alignment vertical="center"/>
    </xf>
    <xf numFmtId="165" fontId="55" fillId="0" borderId="0" applyAlignment="1" pivotButton="0" quotePrefix="0" xfId="0">
      <alignment vertical="center"/>
    </xf>
    <xf numFmtId="9" fontId="12" fillId="0" borderId="0" applyAlignment="1" pivotButton="0" quotePrefix="0" xfId="0">
      <alignment vertical="center"/>
    </xf>
    <xf numFmtId="0" fontId="57" fillId="0" borderId="0" applyAlignment="1" pivotButton="0" quotePrefix="0" xfId="0">
      <alignment vertical="center"/>
    </xf>
    <xf numFmtId="9" fontId="15" fillId="0" borderId="0" applyAlignment="1" pivotButton="0" quotePrefix="0" xfId="0">
      <alignment vertical="center"/>
    </xf>
    <xf numFmtId="0" fontId="58" fillId="16" borderId="2" applyAlignment="1" pivotButton="0" quotePrefix="0" xfId="0">
      <alignment horizontal="center" vertical="center"/>
    </xf>
    <xf numFmtId="0" fontId="0" fillId="16" borderId="2" pivotButton="0" quotePrefix="0" xfId="0"/>
    <xf numFmtId="0" fontId="60" fillId="19" borderId="2" applyAlignment="1" pivotButton="0" quotePrefix="0" xfId="0">
      <alignment horizontal="center" vertical="center"/>
    </xf>
    <xf numFmtId="0" fontId="0" fillId="19" borderId="2" pivotButton="0" quotePrefix="0" xfId="0"/>
    <xf numFmtId="0" fontId="59" fillId="0" borderId="0" applyAlignment="1" pivotButton="0" quotePrefix="0" xfId="0">
      <alignment vertical="center"/>
    </xf>
    <xf numFmtId="9" fontId="18" fillId="0" borderId="0" applyAlignment="1" pivotButton="0" quotePrefix="0" xfId="0">
      <alignment vertical="center"/>
    </xf>
    <xf numFmtId="0" fontId="61" fillId="0" borderId="0" applyAlignment="1" pivotButton="0" quotePrefix="0" xfId="0">
      <alignment vertical="center"/>
    </xf>
    <xf numFmtId="9" fontId="21" fillId="0" borderId="0" applyAlignment="1" pivotButton="0" quotePrefix="0" xfId="0">
      <alignment vertical="center"/>
    </xf>
    <xf numFmtId="0" fontId="62" fillId="22" borderId="2" applyAlignment="1" pivotButton="0" quotePrefix="0" xfId="0">
      <alignment horizontal="center" vertical="center"/>
    </xf>
    <xf numFmtId="0" fontId="0" fillId="22" borderId="2" pivotButton="0" quotePrefix="0" xfId="0"/>
    <xf numFmtId="0" fontId="63" fillId="0" borderId="0" applyAlignment="1" pivotButton="0" quotePrefix="0" xfId="0">
      <alignment vertical="center"/>
    </xf>
    <xf numFmtId="9" fontId="24" fillId="0" borderId="0" applyAlignment="1" pivotButton="0" quotePrefix="0" xfId="0">
      <alignment vertical="center"/>
    </xf>
    <xf numFmtId="0" fontId="1" fillId="2" borderId="0" applyAlignment="1" pivotButton="0" quotePrefix="0" xfId="0">
      <alignment horizontal="center" vertical="center"/>
    </xf>
    <xf numFmtId="0" fontId="0" fillId="2" borderId="0" pivotButton="0" quotePrefix="0" xfId="0"/>
    <xf numFmtId="0" fontId="2" fillId="3" borderId="1" applyAlignment="1" pivotButton="0" quotePrefix="0" xfId="0">
      <alignment horizontal="center" vertical="center"/>
    </xf>
    <xf numFmtId="164" fontId="3" fillId="4" borderId="2" applyAlignment="1" pivotButton="0" quotePrefix="0" xfId="0">
      <alignment vertical="center"/>
    </xf>
    <xf numFmtId="0" fontId="3" fillId="4" borderId="2" applyAlignment="1" pivotButton="0" quotePrefix="0" xfId="0">
      <alignment vertical="center"/>
    </xf>
    <xf numFmtId="165" fontId="3" fillId="4" borderId="2" applyAlignment="1" pivotButton="0" quotePrefix="0" xfId="0">
      <alignment vertical="center"/>
    </xf>
    <xf numFmtId="0" fontId="4" fillId="4" borderId="2" applyAlignment="1" pivotButton="0" quotePrefix="0" xfId="0">
      <alignment vertical="center"/>
    </xf>
    <xf numFmtId="164" fontId="3" fillId="5" borderId="2" applyAlignment="1" pivotButton="0" quotePrefix="0" xfId="0">
      <alignment vertical="center"/>
    </xf>
    <xf numFmtId="0" fontId="3" fillId="5" borderId="2" applyAlignment="1" pivotButton="0" quotePrefix="0" xfId="0">
      <alignment vertical="center"/>
    </xf>
    <xf numFmtId="165" fontId="3" fillId="5" borderId="2" applyAlignment="1" pivotButton="0" quotePrefix="0" xfId="0">
      <alignment vertical="center"/>
    </xf>
    <xf numFmtId="0" fontId="4" fillId="5" borderId="2" applyAlignment="1" pivotButton="0" quotePrefix="0" xfId="0">
      <alignment vertical="center"/>
    </xf>
    <xf numFmtId="164" fontId="0" fillId="4" borderId="2" applyAlignment="1" pivotButton="0" quotePrefix="0" xfId="0">
      <alignment vertical="center"/>
    </xf>
    <xf numFmtId="0" fontId="0" fillId="4" borderId="2" applyAlignment="1" pivotButton="0" quotePrefix="0" xfId="0">
      <alignment vertical="center"/>
    </xf>
    <xf numFmtId="165" fontId="0" fillId="4" borderId="2" applyAlignment="1" pivotButton="0" quotePrefix="0" xfId="0">
      <alignment vertical="center"/>
    </xf>
    <xf numFmtId="164" fontId="0" fillId="5" borderId="2" applyAlignment="1" pivotButton="0" quotePrefix="0" xfId="0">
      <alignment vertical="center"/>
    </xf>
    <xf numFmtId="0" fontId="0" fillId="5" borderId="2" applyAlignment="1" pivotButton="0" quotePrefix="0" xfId="0">
      <alignment vertical="center"/>
    </xf>
    <xf numFmtId="165" fontId="0" fillId="5" borderId="2" applyAlignment="1" pivotButton="0" quotePrefix="0" xfId="0">
      <alignment vertical="center"/>
    </xf>
    <xf numFmtId="0" fontId="1" fillId="6" borderId="0" applyAlignment="1" pivotButton="0" quotePrefix="0" xfId="0">
      <alignment horizontal="center" vertical="center"/>
    </xf>
    <xf numFmtId="0" fontId="0" fillId="6" borderId="0" pivotButton="0" quotePrefix="0" xfId="0"/>
    <xf numFmtId="0" fontId="5" fillId="7" borderId="0" applyAlignment="1" pivotButton="0" quotePrefix="0" xfId="0">
      <alignment horizontal="center" vertical="center"/>
    </xf>
    <xf numFmtId="0" fontId="0" fillId="7" borderId="0" pivotButton="0" quotePrefix="0" xfId="0"/>
    <xf numFmtId="0" fontId="6" fillId="6" borderId="1" applyAlignment="1" pivotButton="0" quotePrefix="0" xfId="0">
      <alignment horizontal="center" vertical="center" wrapText="1"/>
    </xf>
    <xf numFmtId="0" fontId="7" fillId="7" borderId="2" applyAlignment="1" pivotButton="0" quotePrefix="0" xfId="0">
      <alignment horizontal="center" vertical="center"/>
    </xf>
    <xf numFmtId="0" fontId="8" fillId="7" borderId="2" applyAlignment="1" pivotButton="0" quotePrefix="0" xfId="0">
      <alignment vertical="center"/>
    </xf>
    <xf numFmtId="165" fontId="8" fillId="7" borderId="2" applyAlignment="1" pivotButton="0" quotePrefix="0" xfId="0">
      <alignment vertical="center"/>
    </xf>
    <xf numFmtId="0" fontId="7" fillId="5" borderId="2" applyAlignment="1" pivotButton="0" quotePrefix="0" xfId="0">
      <alignment horizontal="center" vertical="center"/>
    </xf>
    <xf numFmtId="0" fontId="8" fillId="5" borderId="2" applyAlignment="1" pivotButton="0" quotePrefix="0" xfId="0">
      <alignment vertical="center"/>
    </xf>
    <xf numFmtId="165" fontId="8" fillId="5" borderId="2" applyAlignment="1" pivotButton="0" quotePrefix="0" xfId="0">
      <alignment vertical="center"/>
    </xf>
    <xf numFmtId="9" fontId="0" fillId="5" borderId="2" applyAlignment="1" pivotButton="0" quotePrefix="0" xfId="0">
      <alignment vertical="center"/>
    </xf>
    <xf numFmtId="0" fontId="0" fillId="7" borderId="2" applyAlignment="1" pivotButton="0" quotePrefix="0" xfId="0">
      <alignment vertical="center"/>
    </xf>
    <xf numFmtId="165" fontId="0" fillId="7" borderId="2" applyAlignment="1" pivotButton="0" quotePrefix="0" xfId="0">
      <alignment vertical="center"/>
    </xf>
    <xf numFmtId="9" fontId="0" fillId="7" borderId="2" applyAlignment="1" pivotButton="0" quotePrefix="0" xfId="0">
      <alignment vertical="center"/>
    </xf>
    <xf numFmtId="0" fontId="0" fillId="8" borderId="1" applyAlignment="1" pivotButton="0" quotePrefix="0" xfId="0">
      <alignment vertical="center"/>
    </xf>
    <xf numFmtId="0" fontId="2" fillId="8" borderId="1" applyAlignment="1" pivotButton="0" quotePrefix="0" xfId="0">
      <alignment vertical="center"/>
    </xf>
    <xf numFmtId="165" fontId="2" fillId="8" borderId="1" applyAlignment="1" pivotButton="0" quotePrefix="0" xfId="0">
      <alignment vertical="center"/>
    </xf>
    <xf numFmtId="0" fontId="0" fillId="8" borderId="1" pivotButton="0" quotePrefix="0" xfId="0"/>
    <xf numFmtId="0" fontId="1" fillId="9" borderId="0" applyAlignment="1" pivotButton="0" quotePrefix="0" xfId="0">
      <alignment horizontal="center" vertical="center"/>
    </xf>
    <xf numFmtId="0" fontId="0" fillId="9" borderId="0" pivotButton="0" quotePrefix="0" xfId="0"/>
    <xf numFmtId="0" fontId="9" fillId="10" borderId="0" applyAlignment="1" pivotButton="0" quotePrefix="0" xfId="0">
      <alignment horizontal="center" vertical="center"/>
    </xf>
    <xf numFmtId="0" fontId="0" fillId="10" borderId="0" pivotButton="0" quotePrefix="0" xfId="0"/>
    <xf numFmtId="0" fontId="6" fillId="9" borderId="1" applyAlignment="1" pivotButton="0" quotePrefix="0" xfId="0">
      <alignment horizontal="center" vertical="center" wrapText="1"/>
    </xf>
    <xf numFmtId="0" fontId="7" fillId="10" borderId="2" applyAlignment="1" pivotButton="0" quotePrefix="0" xfId="0">
      <alignment horizontal="center" vertical="center"/>
    </xf>
    <xf numFmtId="0" fontId="8" fillId="10" borderId="2" applyAlignment="1" pivotButton="0" quotePrefix="0" xfId="0">
      <alignment vertical="center"/>
    </xf>
    <xf numFmtId="165" fontId="8" fillId="10" borderId="2" applyAlignment="1" pivotButton="0" quotePrefix="0" xfId="0">
      <alignment vertical="center"/>
    </xf>
    <xf numFmtId="165" fontId="10" fillId="10" borderId="2" applyAlignment="1" pivotButton="0" quotePrefix="0" xfId="0">
      <alignment vertical="center"/>
    </xf>
    <xf numFmtId="165" fontId="11" fillId="10" borderId="2" applyAlignment="1" pivotButton="0" quotePrefix="0" xfId="0">
      <alignment vertical="center"/>
    </xf>
    <xf numFmtId="9" fontId="12" fillId="10" borderId="2" applyAlignment="1" pivotButton="0" quotePrefix="0" xfId="0">
      <alignment vertical="center"/>
    </xf>
    <xf numFmtId="165" fontId="10" fillId="5" borderId="2" applyAlignment="1" pivotButton="0" quotePrefix="0" xfId="0">
      <alignment vertical="center"/>
    </xf>
    <xf numFmtId="165" fontId="11" fillId="5" borderId="2" applyAlignment="1" pivotButton="0" quotePrefix="0" xfId="0">
      <alignment vertical="center"/>
    </xf>
    <xf numFmtId="9" fontId="12" fillId="5" borderId="2" applyAlignment="1" pivotButton="0" quotePrefix="0" xfId="0">
      <alignment vertical="center"/>
    </xf>
    <xf numFmtId="0" fontId="0" fillId="10" borderId="2" applyAlignment="1" pivotButton="0" quotePrefix="0" xfId="0">
      <alignment vertical="center"/>
    </xf>
    <xf numFmtId="165" fontId="0" fillId="10" borderId="2" applyAlignment="1" pivotButton="0" quotePrefix="0" xfId="0">
      <alignment vertical="center"/>
    </xf>
    <xf numFmtId="9" fontId="0" fillId="10" borderId="2" applyAlignment="1" pivotButton="0" quotePrefix="0" xfId="0">
      <alignment vertical="center"/>
    </xf>
    <xf numFmtId="0" fontId="0" fillId="11" borderId="1" applyAlignment="1" pivotButton="0" quotePrefix="0" xfId="0">
      <alignment vertical="center"/>
    </xf>
    <xf numFmtId="0" fontId="2" fillId="11" borderId="1" applyAlignment="1" pivotButton="0" quotePrefix="0" xfId="0">
      <alignment vertical="center"/>
    </xf>
    <xf numFmtId="165" fontId="2" fillId="11" borderId="1" applyAlignment="1" pivotButton="0" quotePrefix="0" xfId="0">
      <alignment vertical="center"/>
    </xf>
    <xf numFmtId="9" fontId="2" fillId="11" borderId="1" applyAlignment="1" pivotButton="0" quotePrefix="0" xfId="0">
      <alignment vertical="center"/>
    </xf>
    <xf numFmtId="0" fontId="1" fillId="12" borderId="0" applyAlignment="1" pivotButton="0" quotePrefix="0" xfId="0">
      <alignment horizontal="center" vertical="center"/>
    </xf>
    <xf numFmtId="0" fontId="0" fillId="12" borderId="0" pivotButton="0" quotePrefix="0" xfId="0"/>
    <xf numFmtId="0" fontId="13" fillId="13" borderId="0" applyAlignment="1" pivotButton="0" quotePrefix="0" xfId="0">
      <alignment horizontal="center" vertical="center"/>
    </xf>
    <xf numFmtId="0" fontId="0" fillId="13" borderId="0" pivotButton="0" quotePrefix="0" xfId="0"/>
    <xf numFmtId="0" fontId="6" fillId="12" borderId="1" applyAlignment="1" pivotButton="0" quotePrefix="0" xfId="0">
      <alignment horizontal="center" vertical="center" wrapText="1"/>
    </xf>
    <xf numFmtId="0" fontId="7" fillId="13" borderId="2" applyAlignment="1" pivotButton="0" quotePrefix="0" xfId="0">
      <alignment horizontal="center" vertical="center"/>
    </xf>
    <xf numFmtId="0" fontId="8" fillId="13" borderId="2" applyAlignment="1" pivotButton="0" quotePrefix="0" xfId="0">
      <alignment vertical="center"/>
    </xf>
    <xf numFmtId="165" fontId="8" fillId="13" borderId="2" applyAlignment="1" pivotButton="0" quotePrefix="0" xfId="0">
      <alignment vertical="center"/>
    </xf>
    <xf numFmtId="165" fontId="10" fillId="13" borderId="2" applyAlignment="1" pivotButton="0" quotePrefix="0" xfId="0">
      <alignment vertical="center"/>
    </xf>
    <xf numFmtId="165" fontId="14" fillId="13" borderId="2" applyAlignment="1" pivotButton="0" quotePrefix="0" xfId="0">
      <alignment vertical="center"/>
    </xf>
    <xf numFmtId="9" fontId="15" fillId="13" borderId="2" applyAlignment="1" pivotButton="0" quotePrefix="0" xfId="0">
      <alignment vertical="center"/>
    </xf>
    <xf numFmtId="165" fontId="14" fillId="5" borderId="2" applyAlignment="1" pivotButton="0" quotePrefix="0" xfId="0">
      <alignment vertical="center"/>
    </xf>
    <xf numFmtId="9" fontId="15" fillId="5" borderId="2" applyAlignment="1" pivotButton="0" quotePrefix="0" xfId="0">
      <alignment vertical="center"/>
    </xf>
    <xf numFmtId="0" fontId="0" fillId="13" borderId="2" applyAlignment="1" pivotButton="0" quotePrefix="0" xfId="0">
      <alignment vertical="center"/>
    </xf>
    <xf numFmtId="165" fontId="0" fillId="13" borderId="2" applyAlignment="1" pivotButton="0" quotePrefix="0" xfId="0">
      <alignment vertical="center"/>
    </xf>
    <xf numFmtId="9" fontId="0" fillId="13" borderId="2" applyAlignment="1" pivotButton="0" quotePrefix="0" xfId="0">
      <alignment vertical="center"/>
    </xf>
    <xf numFmtId="0" fontId="0" fillId="14" borderId="1" applyAlignment="1" pivotButton="0" quotePrefix="0" xfId="0">
      <alignment vertical="center"/>
    </xf>
    <xf numFmtId="0" fontId="2" fillId="14" borderId="1" applyAlignment="1" pivotButton="0" quotePrefix="0" xfId="0">
      <alignment vertical="center"/>
    </xf>
    <xf numFmtId="165" fontId="2" fillId="14" borderId="1" applyAlignment="1" pivotButton="0" quotePrefix="0" xfId="0">
      <alignment vertical="center"/>
    </xf>
    <xf numFmtId="9" fontId="2" fillId="14" borderId="1" applyAlignment="1" pivotButton="0" quotePrefix="0" xfId="0">
      <alignment vertical="center"/>
    </xf>
    <xf numFmtId="0" fontId="1" fillId="15" borderId="0" applyAlignment="1" pivotButton="0" quotePrefix="0" xfId="0">
      <alignment horizontal="center" vertical="center"/>
    </xf>
    <xf numFmtId="0" fontId="0" fillId="15" borderId="0" pivotButton="0" quotePrefix="0" xfId="0"/>
    <xf numFmtId="0" fontId="16" fillId="16" borderId="0" applyAlignment="1" pivotButton="0" quotePrefix="0" xfId="0">
      <alignment horizontal="center" vertical="center"/>
    </xf>
    <xf numFmtId="0" fontId="0" fillId="16" borderId="0" pivotButton="0" quotePrefix="0" xfId="0"/>
    <xf numFmtId="0" fontId="6" fillId="15" borderId="1" applyAlignment="1" pivotButton="0" quotePrefix="0" xfId="0">
      <alignment horizontal="center" vertical="center" wrapText="1"/>
    </xf>
    <xf numFmtId="0" fontId="7" fillId="16" borderId="2" applyAlignment="1" pivotButton="0" quotePrefix="0" xfId="0">
      <alignment horizontal="center" vertical="center"/>
    </xf>
    <xf numFmtId="0" fontId="8" fillId="16" borderId="2" applyAlignment="1" pivotButton="0" quotePrefix="0" xfId="0">
      <alignment vertical="center"/>
    </xf>
    <xf numFmtId="165" fontId="8" fillId="16" borderId="2" applyAlignment="1" pivotButton="0" quotePrefix="0" xfId="0">
      <alignment vertical="center"/>
    </xf>
    <xf numFmtId="165" fontId="10" fillId="16" borderId="2" applyAlignment="1" pivotButton="0" quotePrefix="0" xfId="0">
      <alignment vertical="center"/>
    </xf>
    <xf numFmtId="165" fontId="17" fillId="16" borderId="2" applyAlignment="1" pivotButton="0" quotePrefix="0" xfId="0">
      <alignment vertical="center"/>
    </xf>
    <xf numFmtId="9" fontId="18" fillId="16" borderId="2" applyAlignment="1" pivotButton="0" quotePrefix="0" xfId="0">
      <alignment vertical="center"/>
    </xf>
    <xf numFmtId="165" fontId="17" fillId="5" borderId="2" applyAlignment="1" pivotButton="0" quotePrefix="0" xfId="0">
      <alignment vertical="center"/>
    </xf>
    <xf numFmtId="9" fontId="18" fillId="5" borderId="2" applyAlignment="1" pivotButton="0" quotePrefix="0" xfId="0">
      <alignment vertical="center"/>
    </xf>
    <xf numFmtId="0" fontId="0" fillId="16" borderId="2" applyAlignment="1" pivotButton="0" quotePrefix="0" xfId="0">
      <alignment vertical="center"/>
    </xf>
    <xf numFmtId="165" fontId="0" fillId="16" borderId="2" applyAlignment="1" pivotButton="0" quotePrefix="0" xfId="0">
      <alignment vertical="center"/>
    </xf>
    <xf numFmtId="9" fontId="0" fillId="16" borderId="2" applyAlignment="1" pivotButton="0" quotePrefix="0" xfId="0">
      <alignment vertical="center"/>
    </xf>
    <xf numFmtId="0" fontId="0" fillId="17" borderId="1" applyAlignment="1" pivotButton="0" quotePrefix="0" xfId="0">
      <alignment vertical="center"/>
    </xf>
    <xf numFmtId="0" fontId="2" fillId="17" borderId="1" applyAlignment="1" pivotButton="0" quotePrefix="0" xfId="0">
      <alignment vertical="center"/>
    </xf>
    <xf numFmtId="165" fontId="2" fillId="17" borderId="1" applyAlignment="1" pivotButton="0" quotePrefix="0" xfId="0">
      <alignment vertical="center"/>
    </xf>
    <xf numFmtId="9" fontId="2" fillId="17" borderId="1" applyAlignment="1" pivotButton="0" quotePrefix="0" xfId="0">
      <alignment vertical="center"/>
    </xf>
    <xf numFmtId="0" fontId="1" fillId="18" borderId="0" applyAlignment="1" pivotButton="0" quotePrefix="0" xfId="0">
      <alignment horizontal="center" vertical="center"/>
    </xf>
    <xf numFmtId="0" fontId="0" fillId="18" borderId="0" pivotButton="0" quotePrefix="0" xfId="0"/>
    <xf numFmtId="0" fontId="19" fillId="19" borderId="0" applyAlignment="1" pivotButton="0" quotePrefix="0" xfId="0">
      <alignment horizontal="center" vertical="center"/>
    </xf>
    <xf numFmtId="0" fontId="0" fillId="19" borderId="0" pivotButton="0" quotePrefix="0" xfId="0"/>
    <xf numFmtId="0" fontId="6" fillId="18" borderId="1" applyAlignment="1" pivotButton="0" quotePrefix="0" xfId="0">
      <alignment horizontal="center" vertical="center" wrapText="1"/>
    </xf>
    <xf numFmtId="0" fontId="7" fillId="19" borderId="2" applyAlignment="1" pivotButton="0" quotePrefix="0" xfId="0">
      <alignment horizontal="center" vertical="center"/>
    </xf>
    <xf numFmtId="0" fontId="8" fillId="19" borderId="2" applyAlignment="1" pivotButton="0" quotePrefix="0" xfId="0">
      <alignment vertical="center"/>
    </xf>
    <xf numFmtId="165" fontId="8" fillId="19" borderId="2" applyAlignment="1" pivotButton="0" quotePrefix="0" xfId="0">
      <alignment vertical="center"/>
    </xf>
    <xf numFmtId="165" fontId="10" fillId="19" borderId="2" applyAlignment="1" pivotButton="0" quotePrefix="0" xfId="0">
      <alignment vertical="center"/>
    </xf>
    <xf numFmtId="165" fontId="20" fillId="19" borderId="2" applyAlignment="1" pivotButton="0" quotePrefix="0" xfId="0">
      <alignment vertical="center"/>
    </xf>
    <xf numFmtId="9" fontId="21" fillId="19" borderId="2" applyAlignment="1" pivotButton="0" quotePrefix="0" xfId="0">
      <alignment vertical="center"/>
    </xf>
    <xf numFmtId="165" fontId="20" fillId="5" borderId="2" applyAlignment="1" pivotButton="0" quotePrefix="0" xfId="0">
      <alignment vertical="center"/>
    </xf>
    <xf numFmtId="9" fontId="21" fillId="5" borderId="2" applyAlignment="1" pivotButton="0" quotePrefix="0" xfId="0">
      <alignment vertical="center"/>
    </xf>
    <xf numFmtId="0" fontId="0" fillId="19" borderId="2" applyAlignment="1" pivotButton="0" quotePrefix="0" xfId="0">
      <alignment vertical="center"/>
    </xf>
    <xf numFmtId="165" fontId="0" fillId="19" borderId="2" applyAlignment="1" pivotButton="0" quotePrefix="0" xfId="0">
      <alignment vertical="center"/>
    </xf>
    <xf numFmtId="9" fontId="0" fillId="19" borderId="2" applyAlignment="1" pivotButton="0" quotePrefix="0" xfId="0">
      <alignment vertical="center"/>
    </xf>
    <xf numFmtId="0" fontId="0" fillId="20" borderId="1" applyAlignment="1" pivotButton="0" quotePrefix="0" xfId="0">
      <alignment vertical="center"/>
    </xf>
    <xf numFmtId="0" fontId="2" fillId="20" borderId="1" applyAlignment="1" pivotButton="0" quotePrefix="0" xfId="0">
      <alignment vertical="center"/>
    </xf>
    <xf numFmtId="165" fontId="2" fillId="20" borderId="1" applyAlignment="1" pivotButton="0" quotePrefix="0" xfId="0">
      <alignment vertical="center"/>
    </xf>
    <xf numFmtId="9" fontId="2" fillId="20" borderId="1" applyAlignment="1" pivotButton="0" quotePrefix="0" xfId="0">
      <alignment vertical="center"/>
    </xf>
    <xf numFmtId="0" fontId="1" fillId="21" borderId="0" applyAlignment="1" pivotButton="0" quotePrefix="0" xfId="0">
      <alignment horizontal="center" vertical="center"/>
    </xf>
    <xf numFmtId="0" fontId="0" fillId="21" borderId="0" pivotButton="0" quotePrefix="0" xfId="0"/>
    <xf numFmtId="0" fontId="22" fillId="22" borderId="0" applyAlignment="1" pivotButton="0" quotePrefix="0" xfId="0">
      <alignment horizontal="center" vertical="center"/>
    </xf>
    <xf numFmtId="0" fontId="0" fillId="22" borderId="0" pivotButton="0" quotePrefix="0" xfId="0"/>
    <xf numFmtId="0" fontId="6" fillId="21" borderId="1" applyAlignment="1" pivotButton="0" quotePrefix="0" xfId="0">
      <alignment horizontal="center" vertical="center" wrapText="1"/>
    </xf>
    <xf numFmtId="0" fontId="7" fillId="22" borderId="2" applyAlignment="1" pivotButton="0" quotePrefix="0" xfId="0">
      <alignment horizontal="center" vertical="center"/>
    </xf>
    <xf numFmtId="0" fontId="8" fillId="22" borderId="2" applyAlignment="1" pivotButton="0" quotePrefix="0" xfId="0">
      <alignment vertical="center"/>
    </xf>
    <xf numFmtId="165" fontId="8" fillId="22" borderId="2" applyAlignment="1" pivotButton="0" quotePrefix="0" xfId="0">
      <alignment vertical="center"/>
    </xf>
    <xf numFmtId="165" fontId="10" fillId="22" borderId="2" applyAlignment="1" pivotButton="0" quotePrefix="0" xfId="0">
      <alignment vertical="center"/>
    </xf>
    <xf numFmtId="165" fontId="23" fillId="22" borderId="2" applyAlignment="1" pivotButton="0" quotePrefix="0" xfId="0">
      <alignment vertical="center"/>
    </xf>
    <xf numFmtId="9" fontId="24" fillId="22" borderId="2" applyAlignment="1" pivotButton="0" quotePrefix="0" xfId="0">
      <alignment vertical="center"/>
    </xf>
    <xf numFmtId="165" fontId="23" fillId="5" borderId="2" applyAlignment="1" pivotButton="0" quotePrefix="0" xfId="0">
      <alignment vertical="center"/>
    </xf>
    <xf numFmtId="9" fontId="24" fillId="5" borderId="2" applyAlignment="1" pivotButton="0" quotePrefix="0" xfId="0">
      <alignment vertical="center"/>
    </xf>
    <xf numFmtId="0" fontId="0" fillId="22" borderId="2" applyAlignment="1" pivotButton="0" quotePrefix="0" xfId="0">
      <alignment vertical="center"/>
    </xf>
    <xf numFmtId="165" fontId="0" fillId="22" borderId="2" applyAlignment="1" pivotButton="0" quotePrefix="0" xfId="0">
      <alignment vertical="center"/>
    </xf>
    <xf numFmtId="9" fontId="0" fillId="22" borderId="2" applyAlignment="1" pivotButton="0" quotePrefix="0" xfId="0">
      <alignment vertical="center"/>
    </xf>
    <xf numFmtId="0" fontId="0" fillId="23" borderId="1" applyAlignment="1" pivotButton="0" quotePrefix="0" xfId="0">
      <alignment vertical="center"/>
    </xf>
    <xf numFmtId="0" fontId="2" fillId="23" borderId="1" applyAlignment="1" pivotButton="0" quotePrefix="0" xfId="0">
      <alignment vertical="center"/>
    </xf>
    <xf numFmtId="165" fontId="2" fillId="23" borderId="1" applyAlignment="1" pivotButton="0" quotePrefix="0" xfId="0">
      <alignment vertical="center"/>
    </xf>
    <xf numFmtId="9" fontId="2" fillId="23" borderId="1" applyAlignment="1" pivotButton="0" quotePrefix="0" xfId="0">
      <alignment vertical="center"/>
    </xf>
    <xf numFmtId="0" fontId="25" fillId="23" borderId="0" applyAlignment="1" pivotButton="0" quotePrefix="0" xfId="0">
      <alignment horizontal="center" vertical="center"/>
    </xf>
    <xf numFmtId="0" fontId="0" fillId="23" borderId="0" pivotButton="0" quotePrefix="0" xfId="0"/>
    <xf numFmtId="0" fontId="0" fillId="7" borderId="2" pivotButton="0" quotePrefix="0" xfId="0"/>
    <xf numFmtId="0" fontId="26" fillId="7" borderId="2" applyAlignment="1" pivotButton="0" quotePrefix="0" xfId="0">
      <alignment vertical="center"/>
    </xf>
    <xf numFmtId="165" fontId="27" fillId="7" borderId="2" applyAlignment="1" pivotButton="0" quotePrefix="0" xfId="0">
      <alignment vertical="center"/>
    </xf>
    <xf numFmtId="0" fontId="0" fillId="24" borderId="2" pivotButton="0" quotePrefix="0" xfId="0"/>
    <xf numFmtId="0" fontId="28" fillId="24" borderId="2" applyAlignment="1" pivotButton="0" quotePrefix="0" xfId="0">
      <alignment vertical="center"/>
    </xf>
    <xf numFmtId="165" fontId="29" fillId="24" borderId="2" applyAlignment="1" pivotButton="0" quotePrefix="0" xfId="0">
      <alignment vertical="center"/>
    </xf>
    <xf numFmtId="0" fontId="0" fillId="5" borderId="0" pivotButton="0" quotePrefix="0" xfId="0"/>
    <xf numFmtId="0" fontId="0" fillId="25" borderId="2" pivotButton="0" quotePrefix="0" xfId="0"/>
    <xf numFmtId="0" fontId="30" fillId="25" borderId="2" applyAlignment="1" pivotButton="0" quotePrefix="0" xfId="0">
      <alignment vertical="center"/>
    </xf>
    <xf numFmtId="165" fontId="31" fillId="25" borderId="2" applyAlignment="1" pivotButton="0" quotePrefix="0" xfId="0">
      <alignment vertical="center"/>
    </xf>
    <xf numFmtId="0" fontId="32" fillId="10" borderId="2" applyAlignment="1" pivotButton="0" quotePrefix="0" xfId="0">
      <alignment vertical="center"/>
    </xf>
    <xf numFmtId="165" fontId="33" fillId="10" borderId="2" applyAlignment="1" pivotButton="0" quotePrefix="0" xfId="0">
      <alignment vertical="center"/>
    </xf>
    <xf numFmtId="0" fontId="0" fillId="3" borderId="1" pivotButton="0" quotePrefix="0" xfId="0"/>
    <xf numFmtId="0" fontId="34" fillId="10" borderId="2" applyAlignment="1" pivotButton="0" quotePrefix="0" xfId="0">
      <alignment vertical="center"/>
    </xf>
    <xf numFmtId="165" fontId="35" fillId="10" borderId="2" applyAlignment="1" pivotButton="0" quotePrefix="0" xfId="0">
      <alignment vertical="center"/>
    </xf>
    <xf numFmtId="165" fontId="36" fillId="10" borderId="2" applyAlignment="1" pivotButton="0" quotePrefix="0" xfId="0">
      <alignment vertical="center"/>
    </xf>
    <xf numFmtId="9" fontId="34" fillId="10" borderId="2" applyAlignment="1" pivotButton="0" quotePrefix="0" xfId="0">
      <alignment vertical="center"/>
    </xf>
    <xf numFmtId="0" fontId="37" fillId="13" borderId="2" applyAlignment="1" pivotButton="0" quotePrefix="0" xfId="0">
      <alignment vertical="center"/>
    </xf>
    <xf numFmtId="165" fontId="35" fillId="13" borderId="2" applyAlignment="1" pivotButton="0" quotePrefix="0" xfId="0">
      <alignment vertical="center"/>
    </xf>
    <xf numFmtId="165" fontId="38" fillId="13" borderId="2" applyAlignment="1" pivotButton="0" quotePrefix="0" xfId="0">
      <alignment vertical="center"/>
    </xf>
    <xf numFmtId="9" fontId="37" fillId="13" borderId="2" applyAlignment="1" pivotButton="0" quotePrefix="0" xfId="0">
      <alignment vertical="center"/>
    </xf>
    <xf numFmtId="0" fontId="39" fillId="16" borderId="2" applyAlignment="1" pivotButton="0" quotePrefix="0" xfId="0">
      <alignment vertical="center"/>
    </xf>
    <xf numFmtId="165" fontId="35" fillId="16" borderId="2" applyAlignment="1" pivotButton="0" quotePrefix="0" xfId="0">
      <alignment vertical="center"/>
    </xf>
    <xf numFmtId="165" fontId="40" fillId="16" borderId="2" applyAlignment="1" pivotButton="0" quotePrefix="0" xfId="0">
      <alignment vertical="center"/>
    </xf>
    <xf numFmtId="9" fontId="39" fillId="16" borderId="2" applyAlignment="1" pivotButton="0" quotePrefix="0" xfId="0">
      <alignment vertical="center"/>
    </xf>
    <xf numFmtId="0" fontId="41" fillId="19" borderId="2" applyAlignment="1" pivotButton="0" quotePrefix="0" xfId="0">
      <alignment vertical="center"/>
    </xf>
    <xf numFmtId="165" fontId="35" fillId="19" borderId="2" applyAlignment="1" pivotButton="0" quotePrefix="0" xfId="0">
      <alignment vertical="center"/>
    </xf>
    <xf numFmtId="165" fontId="42" fillId="19" borderId="2" applyAlignment="1" pivotButton="0" quotePrefix="0" xfId="0">
      <alignment vertical="center"/>
    </xf>
    <xf numFmtId="9" fontId="41" fillId="19" borderId="2" applyAlignment="1" pivotButton="0" quotePrefix="0" xfId="0">
      <alignment vertical="center"/>
    </xf>
    <xf numFmtId="0" fontId="43" fillId="22" borderId="2" applyAlignment="1" pivotButton="0" quotePrefix="0" xfId="0">
      <alignment vertical="center"/>
    </xf>
    <xf numFmtId="165" fontId="35" fillId="22" borderId="2" applyAlignment="1" pivotButton="0" quotePrefix="0" xfId="0">
      <alignment vertical="center"/>
    </xf>
    <xf numFmtId="165" fontId="44" fillId="22" borderId="2" applyAlignment="1" pivotButton="0" quotePrefix="0" xfId="0">
      <alignment vertical="center"/>
    </xf>
    <xf numFmtId="9" fontId="43" fillId="22" borderId="2" applyAlignment="1" pivotButton="0" quotePrefix="0" xfId="0">
      <alignment vertical="center"/>
    </xf>
    <xf numFmtId="0" fontId="45" fillId="0" borderId="0" applyAlignment="1" pivotButton="0" quotePrefix="0" xfId="0">
      <alignment vertical="center"/>
    </xf>
    <xf numFmtId="0" fontId="0" fillId="0" borderId="0" applyAlignment="1" pivotButton="0" quotePrefix="0" xfId="0">
      <alignment vertical="center"/>
    </xf>
    <xf numFmtId="0" fontId="1" fillId="26" borderId="0" applyAlignment="1" pivotButton="0" quotePrefix="0" xfId="0">
      <alignment horizontal="center" vertical="center"/>
    </xf>
    <xf numFmtId="0" fontId="0" fillId="26" borderId="0" pivotButton="0" quotePrefix="0" xfId="0"/>
    <xf numFmtId="0" fontId="0" fillId="27" borderId="0" applyAlignment="1" pivotButton="0" quotePrefix="0" xfId="0">
      <alignment vertical="center"/>
    </xf>
    <xf numFmtId="0" fontId="64" fillId="27" borderId="0" applyAlignment="1" pivotButton="0" quotePrefix="0" xfId="0">
      <alignment vertical="center"/>
    </xf>
    <xf numFmtId="0" fontId="0" fillId="5" borderId="0" applyAlignment="1" pivotButton="0" quotePrefix="0" xfId="0">
      <alignment vertical="center"/>
    </xf>
    <xf numFmtId="0" fontId="5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harts/chart1.xml><?xml version="1.0" encoding="utf-8"?>
<chartSpace xmlns:a="http://schemas.openxmlformats.org/drawingml/2006/main" xmlns="http://schemas.openxmlformats.org/drawingml/2006/chart">
  <style val="26"/>
  <chart>
    <plotArea>
      <doughnutChart>
        <varyColors val="1"/>
        <ser>
          <idx val="0"/>
          <order val="0"/>
          <spPr>
            <a:ln>
              <a:prstDash val="solid"/>
            </a:ln>
          </spPr>
          <dPt>
            <idx val="0"/>
            <spPr>
              <a:solidFill>
                <a:srgbClr val="1565C0"/>
              </a:solidFill>
              <a:ln>
                <a:prstDash val="solid"/>
              </a:ln>
            </spPr>
          </dPt>
          <dPt>
            <idx val="1"/>
            <spPr>
              <a:solidFill>
                <a:srgbClr val="1565C0"/>
              </a:solidFill>
              <a:ln>
                <a:prstDash val="solid"/>
              </a:ln>
            </spPr>
          </dPt>
          <dPt>
            <idx val="2"/>
            <spPr>
              <a:solidFill>
                <a:srgbClr val="1565C0"/>
              </a:solidFill>
              <a:ln>
                <a:prstDash val="solid"/>
              </a:ln>
            </spPr>
          </dPt>
          <dPt>
            <idx val="3"/>
            <spPr>
              <a:solidFill>
                <a:srgbClr val="1565C0"/>
              </a:solidFill>
              <a:ln>
                <a:prstDash val="solid"/>
              </a:ln>
            </spPr>
          </dPt>
          <dPt>
            <idx val="4"/>
            <spPr>
              <a:solidFill>
                <a:srgbClr val="1565C0"/>
              </a:solidFill>
              <a:ln>
                <a:prstDash val="solid"/>
              </a:ln>
            </spPr>
          </dPt>
          <dPt>
            <idx val="5"/>
            <spPr>
              <a:solidFill>
                <a:srgbClr val="1565C0"/>
              </a:solidFill>
              <a:ln>
                <a:prstDash val="solid"/>
              </a:ln>
            </spPr>
          </dPt>
          <cat>
            <numRef>
              <f>'Dashboard'!$A$9:$F$9</f>
            </numRef>
          </cat>
          <val>
            <numRef>
              <f>'Dashboard'!$A$10:$F$10</f>
            </numRef>
          </val>
        </ser>
        <dLbls>
          <txPr>
            <a:bodyPr/>
            <a:p>
              <a:pPr>
                <a:defRPr sz="800">
                  <a:solidFill>
                    <a:srgbClr val="0D47A1"/>
                  </a:solidFill>
                  <a:latin typeface="Calibri"/>
                </a:defRPr>
              </a:pPr>
              <a:r>
                <a:t/>
              </a:r>
              <a:endParaRPr sz="800">
                <a:solidFill>
                  <a:srgbClr val="0D47A1"/>
                </a:solidFill>
                <a:latin typeface="Calibri"/>
              </a:endParaRPr>
            </a:p>
          </txPr>
          <showVal val="0"/>
          <showCatName val="1"/>
          <showPercent val="1"/>
        </dLbls>
        <firstSliceAng val="0"/>
        <holeSize val="85"/>
      </doughnutChart>
    </plotArea>
    <plotVisOnly val="1"/>
    <dispBlanksAs val="gap"/>
  </chart>
</chartSpace>
</file>

<file path=xl/charts/chart2.xml><?xml version="1.0" encoding="utf-8"?>
<chartSpace xmlns:a="http://schemas.openxmlformats.org/drawingml/2006/main" xmlns="http://schemas.openxmlformats.org/drawingml/2006/chart">
  <style val="26"/>
  <chart>
    <plotArea>
      <doughnutChart>
        <varyColors val="1"/>
        <ser>
          <idx val="0"/>
          <order val="0"/>
          <spPr>
            <a:ln>
              <a:prstDash val="solid"/>
            </a:ln>
          </spPr>
          <dPt>
            <idx val="0"/>
            <spPr>
              <a:solidFill>
                <a:srgbClr val="6A1B9A"/>
              </a:solidFill>
              <a:ln>
                <a:prstDash val="solid"/>
              </a:ln>
            </spPr>
          </dPt>
          <dPt>
            <idx val="1"/>
            <spPr>
              <a:solidFill>
                <a:srgbClr val="6A1B9A"/>
              </a:solidFill>
              <a:ln>
                <a:prstDash val="solid"/>
              </a:ln>
            </spPr>
          </dPt>
          <dPt>
            <idx val="2"/>
            <spPr>
              <a:solidFill>
                <a:srgbClr val="6A1B9A"/>
              </a:solidFill>
              <a:ln>
                <a:prstDash val="solid"/>
              </a:ln>
            </spPr>
          </dPt>
          <dPt>
            <idx val="3"/>
            <spPr>
              <a:solidFill>
                <a:srgbClr val="6A1B9A"/>
              </a:solidFill>
              <a:ln>
                <a:prstDash val="solid"/>
              </a:ln>
            </spPr>
          </dPt>
          <cat>
            <numRef>
              <f>'Dashboard'!$J$9:$M$9</f>
            </numRef>
          </cat>
          <val>
            <numRef>
              <f>'Dashboard'!$J$10:$M$10</f>
            </numRef>
          </val>
        </ser>
        <dLbls>
          <txPr>
            <a:bodyPr/>
            <a:p>
              <a:pPr>
                <a:defRPr sz="800">
                  <a:solidFill>
                    <a:srgbClr val="4A148C"/>
                  </a:solidFill>
                  <a:latin typeface="Calibri"/>
                </a:defRPr>
              </a:pPr>
              <a:r>
                <a:t/>
              </a:r>
              <a:endParaRPr sz="800">
                <a:solidFill>
                  <a:srgbClr val="4A148C"/>
                </a:solidFill>
                <a:latin typeface="Calibri"/>
              </a:endParaRPr>
            </a:p>
          </txPr>
          <showVal val="0"/>
          <showCatName val="1"/>
          <showPercent val="1"/>
        </dLbls>
        <firstSliceAng val="0"/>
        <holeSize val="85"/>
      </doughnutChart>
    </plotArea>
    <plotVisOnly val="1"/>
    <dispBlanksAs val="gap"/>
  </chart>
</chartSpace>
</file>

<file path=xl/charts/chart3.xml><?xml version="1.0" encoding="utf-8"?>
<chartSpace xmlns:a="http://schemas.openxmlformats.org/drawingml/2006/main" xmlns="http://schemas.openxmlformats.org/drawingml/2006/chart">
  <style val="26"/>
  <chart>
    <plotArea>
      <doughnutChart>
        <varyColors val="1"/>
        <ser>
          <idx val="0"/>
          <order val="0"/>
          <spPr>
            <a:ln>
              <a:prstDash val="solid"/>
            </a:ln>
          </spPr>
          <dPt>
            <idx val="0"/>
            <spPr>
              <a:solidFill>
                <a:srgbClr val="E65100"/>
              </a:solidFill>
              <a:ln>
                <a:prstDash val="solid"/>
              </a:ln>
            </spPr>
          </dPt>
          <dPt>
            <idx val="1"/>
            <spPr>
              <a:solidFill>
                <a:srgbClr val="E65100"/>
              </a:solidFill>
              <a:ln>
                <a:prstDash val="solid"/>
              </a:ln>
            </spPr>
          </dPt>
          <dPt>
            <idx val="2"/>
            <spPr>
              <a:solidFill>
                <a:srgbClr val="E65100"/>
              </a:solidFill>
              <a:ln>
                <a:prstDash val="solid"/>
              </a:ln>
            </spPr>
          </dPt>
          <dPt>
            <idx val="3"/>
            <spPr>
              <a:solidFill>
                <a:srgbClr val="E65100"/>
              </a:solidFill>
              <a:ln>
                <a:prstDash val="solid"/>
              </a:ln>
            </spPr>
          </dPt>
          <dPt>
            <idx val="4"/>
            <spPr>
              <a:solidFill>
                <a:srgbClr val="E65100"/>
              </a:solidFill>
              <a:ln>
                <a:prstDash val="solid"/>
              </a:ln>
            </spPr>
          </dPt>
          <cat>
            <numRef>
              <f>'Dashboard'!$A$37:$E$37</f>
            </numRef>
          </cat>
          <val>
            <numRef>
              <f>'Dashboard'!$A$38:$E$38</f>
            </numRef>
          </val>
        </ser>
        <dLbls>
          <txPr>
            <a:bodyPr/>
            <a:p>
              <a:pPr>
                <a:defRPr sz="800">
                  <a:solidFill>
                    <a:srgbClr val="BF360C"/>
                  </a:solidFill>
                  <a:latin typeface="Calibri"/>
                </a:defRPr>
              </a:pPr>
              <a:r>
                <a:t/>
              </a:r>
              <a:endParaRPr sz="800">
                <a:solidFill>
                  <a:srgbClr val="BF360C"/>
                </a:solidFill>
                <a:latin typeface="Calibri"/>
              </a:endParaRPr>
            </a:p>
          </txPr>
          <showVal val="0"/>
          <showCatName val="1"/>
          <showPercent val="1"/>
        </dLbls>
        <firstSliceAng val="0"/>
        <holeSize val="85"/>
      </doughnutChart>
    </plotArea>
    <plotVisOnly val="1"/>
    <dispBlanksAs val="gap"/>
  </chart>
</chartSpace>
</file>

<file path=xl/charts/chart4.xml><?xml version="1.0" encoding="utf-8"?>
<chartSpace xmlns:a="http://schemas.openxmlformats.org/drawingml/2006/main" xmlns="http://schemas.openxmlformats.org/drawingml/2006/chart">
  <style val="26"/>
  <chart>
    <plotArea>
      <doughnutChart>
        <varyColors val="1"/>
        <ser>
          <idx val="0"/>
          <order val="0"/>
          <spPr>
            <a:ln>
              <a:prstDash val="solid"/>
            </a:ln>
          </spPr>
          <dPt>
            <idx val="0"/>
            <spPr>
              <a:solidFill>
                <a:srgbClr val="00838F"/>
              </a:solidFill>
              <a:ln>
                <a:prstDash val="solid"/>
              </a:ln>
            </spPr>
          </dPt>
          <dPt>
            <idx val="1"/>
            <spPr>
              <a:solidFill>
                <a:srgbClr val="00838F"/>
              </a:solidFill>
              <a:ln>
                <a:prstDash val="solid"/>
              </a:ln>
            </spPr>
          </dPt>
          <dPt>
            <idx val="2"/>
            <spPr>
              <a:solidFill>
                <a:srgbClr val="00838F"/>
              </a:solidFill>
              <a:ln>
                <a:prstDash val="solid"/>
              </a:ln>
            </spPr>
          </dPt>
          <dPt>
            <idx val="3"/>
            <spPr>
              <a:solidFill>
                <a:srgbClr val="00838F"/>
              </a:solidFill>
              <a:ln>
                <a:prstDash val="solid"/>
              </a:ln>
            </spPr>
          </dPt>
          <cat>
            <numRef>
              <f>'Dashboard'!$J$37:$M$37</f>
            </numRef>
          </cat>
          <val>
            <numRef>
              <f>'Dashboard'!$J$38:$M$38</f>
            </numRef>
          </val>
        </ser>
        <dLbls>
          <txPr>
            <a:bodyPr/>
            <a:p>
              <a:pPr>
                <a:defRPr sz="800">
                  <a:solidFill>
                    <a:srgbClr val="006064"/>
                  </a:solidFill>
                  <a:latin typeface="Calibri"/>
                </a:defRPr>
              </a:pPr>
              <a:r>
                <a:t/>
              </a:r>
              <a:endParaRPr sz="800">
                <a:solidFill>
                  <a:srgbClr val="006064"/>
                </a:solidFill>
                <a:latin typeface="Calibri"/>
              </a:endParaRPr>
            </a:p>
          </txPr>
          <showVal val="0"/>
          <showCatName val="1"/>
          <showPercent val="1"/>
        </dLbls>
        <firstSliceAng val="0"/>
        <holeSize val="85"/>
      </doughnutChart>
    </plotArea>
    <plotVisOnly val="1"/>
    <dispBlanksAs val="gap"/>
  </chart>
</chartSpace>
</file>

<file path=xl/charts/chart5.xml><?xml version="1.0" encoding="utf-8"?>
<chartSpace xmlns:a="http://schemas.openxmlformats.org/drawingml/2006/main" xmlns="http://schemas.openxmlformats.org/drawingml/2006/chart">
  <style val="26"/>
  <chart>
    <plotArea>
      <doughnutChart>
        <varyColors val="1"/>
        <ser>
          <idx val="0"/>
          <order val="0"/>
          <spPr>
            <a:ln>
              <a:prstDash val="solid"/>
            </a:ln>
          </spPr>
          <dPt>
            <idx val="0"/>
            <spPr>
              <a:solidFill>
                <a:srgbClr val="455A64"/>
              </a:solidFill>
              <a:ln>
                <a:prstDash val="solid"/>
              </a:ln>
            </spPr>
          </dPt>
          <dPt>
            <idx val="1"/>
            <spPr>
              <a:solidFill>
                <a:srgbClr val="455A64"/>
              </a:solidFill>
              <a:ln>
                <a:prstDash val="solid"/>
              </a:ln>
            </spPr>
          </dPt>
          <dPt>
            <idx val="2"/>
            <spPr>
              <a:solidFill>
                <a:srgbClr val="455A64"/>
              </a:solidFill>
              <a:ln>
                <a:prstDash val="solid"/>
              </a:ln>
            </spPr>
          </dPt>
          <dPt>
            <idx val="3"/>
            <spPr>
              <a:solidFill>
                <a:srgbClr val="455A64"/>
              </a:solidFill>
              <a:ln>
                <a:prstDash val="solid"/>
              </a:ln>
            </spPr>
          </dPt>
          <dPt>
            <idx val="4"/>
            <spPr>
              <a:solidFill>
                <a:srgbClr val="455A64"/>
              </a:solidFill>
              <a:ln>
                <a:prstDash val="solid"/>
              </a:ln>
            </spPr>
          </dPt>
          <dPt>
            <idx val="5"/>
            <spPr>
              <a:solidFill>
                <a:srgbClr val="455A64"/>
              </a:solidFill>
              <a:ln>
                <a:prstDash val="solid"/>
              </a:ln>
            </spPr>
          </dPt>
          <dPt>
            <idx val="6"/>
            <spPr>
              <a:solidFill>
                <a:srgbClr val="455A64"/>
              </a:solidFill>
              <a:ln>
                <a:prstDash val="solid"/>
              </a:ln>
            </spPr>
          </dPt>
          <cat>
            <numRef>
              <f>'Dashboard'!$A$65:$G$65</f>
            </numRef>
          </cat>
          <val>
            <numRef>
              <f>'Dashboard'!$A$66:$G$66</f>
            </numRef>
          </val>
        </ser>
        <dLbls>
          <txPr>
            <a:bodyPr/>
            <a:p>
              <a:pPr>
                <a:defRPr sz="800">
                  <a:solidFill>
                    <a:srgbClr val="263238"/>
                  </a:solidFill>
                  <a:latin typeface="Calibri"/>
                </a:defRPr>
              </a:pPr>
              <a:r>
                <a:t/>
              </a:r>
              <a:endParaRPr sz="800">
                <a:solidFill>
                  <a:srgbClr val="263238"/>
                </a:solidFill>
                <a:latin typeface="Calibri"/>
              </a:endParaRPr>
            </a:p>
          </txPr>
          <showVal val="0"/>
          <showCatName val="1"/>
          <showPercent val="1"/>
        </dLbls>
        <firstSliceAng val="0"/>
        <holeSize val="85"/>
      </doughnutChart>
    </plotArea>
    <plotVisOnly val="1"/>
    <dispBlanksAs val="gap"/>
  </chart>
</chartSpace>
</file>

<file path=xl/charts/chart6.xml><?xml version="1.0" encoding="utf-8"?>
<chartSpace xmlns:a="http://schemas.openxmlformats.org/drawingml/2006/main" xmlns="http://schemas.openxmlformats.org/drawingml/2006/chart">
  <style val="10"/>
  <chart>
    <title>
      <tx>
        <rich>
          <a:bodyPr/>
          <a:p>
            <a:pPr>
              <a:defRPr/>
            </a:pPr>
            <a:r>
              <a:t>Budget vs Actual by Category</a:t>
            </a:r>
          </a:p>
        </rich>
      </tx>
    </title>
    <plotArea>
      <barChart>
        <barDir val="col"/>
        <grouping val="clustered"/>
        <ser>
          <idx val="0"/>
          <order val="0"/>
          <tx>
            <strRef>
              <f>'Summary'!C24</f>
            </strRef>
          </tx>
          <spPr>
            <a:solidFill>
              <a:srgbClr val="90CAF9"/>
            </a:solidFill>
            <a:ln>
              <a:prstDash val="solid"/>
            </a:ln>
          </spPr>
          <cat>
            <numRef>
              <f>'Summary'!$B$25:$B$29</f>
            </numRef>
          </cat>
          <val>
            <numRef>
              <f>'Summary'!$C$25:$C$29</f>
            </numRef>
          </val>
        </ser>
        <ser>
          <idx val="1"/>
          <order val="1"/>
          <tx>
            <strRef>
              <f>'Summary'!D24</f>
            </strRef>
          </tx>
          <spPr>
            <a:solidFill>
              <a:srgbClr val="EF5350"/>
            </a:solidFill>
            <a:ln>
              <a:prstDash val="solid"/>
            </a:ln>
          </spPr>
          <cat>
            <numRef>
              <f>'Summary'!$B$25:$B$29</f>
            </numRef>
          </cat>
          <val>
            <numRef>
              <f>'Summary'!$D$25:$D$29</f>
            </numRef>
          </val>
        </ser>
        <gapWidth val="150"/>
        <axId val="10"/>
        <axId val="100"/>
      </barChart>
      <catAx>
        <axId val="10"/>
        <scaling>
          <orientation val="minMax"/>
        </scaling>
        <axPos val="l"/>
        <title>
          <tx>
            <rich>
              <a:bodyPr/>
              <a:p>
                <a:pPr>
                  <a:defRPr/>
                </a:pPr>
                <a:r>
                  <a:t>Category</a:t>
                </a:r>
              </a:p>
            </rich>
          </tx>
        </title>
        <majorTickMark val="none"/>
        <minorTickMark val="none"/>
        <crossAx val="100"/>
        <lblOffset val="100"/>
      </catAx>
      <valAx>
        <axId val="100"/>
        <scaling>
          <orientation val="minMax"/>
        </scaling>
        <axPos val="l"/>
        <majorGridlines/>
        <title>
          <tx>
            <rich>
              <a:bodyPr/>
              <a:p>
                <a:pPr>
                  <a:defRPr/>
                </a:pPr>
                <a:r>
                  <a:t>SEK</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_rels/drawing2.xml.rels><Relationships xmlns="http://schemas.openxmlformats.org/package/2006/relationships"><Relationship Type="http://schemas.openxmlformats.org/officeDocument/2006/relationships/chart" Target="/xl/charts/chart6.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2</col>
      <colOff>0</colOff>
      <row>13</row>
      <rowOff>0</rowOff>
    </from>
    <ext cx="3960000" cy="3600000"/>
    <graphicFrame>
      <nvGraphicFramePr>
        <cNvPr id="1" name="Chart 1"/>
        <cNvGraphicFramePr/>
      </nvGraphicFramePr>
      <xfrm/>
      <a:graphic>
        <a:graphicData uri="http://schemas.openxmlformats.org/drawingml/2006/chart">
          <c:chart r:id="rId1"/>
        </a:graphicData>
      </a:graphic>
    </graphicFrame>
    <clientData/>
  </oneCellAnchor>
  <oneCellAnchor>
    <from>
      <col>11</col>
      <colOff>0</colOff>
      <row>13</row>
      <rowOff>0</rowOff>
    </from>
    <ext cx="3960000" cy="3600000"/>
    <graphicFrame>
      <nvGraphicFramePr>
        <cNvPr id="2" name="Chart 2"/>
        <cNvGraphicFramePr/>
      </nvGraphicFramePr>
      <xfrm/>
      <a:graphic>
        <a:graphicData uri="http://schemas.openxmlformats.org/drawingml/2006/chart">
          <c:chart r:id="rId2"/>
        </a:graphicData>
      </a:graphic>
    </graphicFrame>
    <clientData/>
  </oneCellAnchor>
  <oneCellAnchor>
    <from>
      <col>2</col>
      <colOff>0</colOff>
      <row>41</row>
      <rowOff>0</rowOff>
    </from>
    <ext cx="3960000" cy="3600000"/>
    <graphicFrame>
      <nvGraphicFramePr>
        <cNvPr id="3" name="Chart 3"/>
        <cNvGraphicFramePr/>
      </nvGraphicFramePr>
      <xfrm/>
      <a:graphic>
        <a:graphicData uri="http://schemas.openxmlformats.org/drawingml/2006/chart">
          <c:chart r:id="rId3"/>
        </a:graphicData>
      </a:graphic>
    </graphicFrame>
    <clientData/>
  </oneCellAnchor>
  <oneCellAnchor>
    <from>
      <col>11</col>
      <colOff>0</colOff>
      <row>41</row>
      <rowOff>0</rowOff>
    </from>
    <ext cx="3960000" cy="3600000"/>
    <graphicFrame>
      <nvGraphicFramePr>
        <cNvPr id="4" name="Chart 4"/>
        <cNvGraphicFramePr/>
      </nvGraphicFramePr>
      <xfrm/>
      <a:graphic>
        <a:graphicData uri="http://schemas.openxmlformats.org/drawingml/2006/chart">
          <c:chart r:id="rId4"/>
        </a:graphicData>
      </a:graphic>
    </graphicFrame>
    <clientData/>
  </oneCellAnchor>
  <oneCellAnchor>
    <from>
      <col>2</col>
      <colOff>0</colOff>
      <row>69</row>
      <rowOff>0</rowOff>
    </from>
    <ext cx="3960000" cy="3600000"/>
    <graphicFrame>
      <nvGraphicFramePr>
        <cNvPr id="5" name="Chart 5"/>
        <cNvGraphicFramePr/>
      </nvGraphicFramePr>
      <xfrm/>
      <a:graphic>
        <a:graphicData uri="http://schemas.openxmlformats.org/drawingml/2006/chart">
          <c:chart r:id="rId5"/>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30</row>
      <rowOff>0</rowOff>
    </from>
    <ext cx="7920000" cy="50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9.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rgb="0037474F"/>
    <outlinePr summaryBelow="1" summaryRight="1"/>
    <pageSetUpPr/>
  </sheetPr>
  <dimension ref="A1:R79"/>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s>
  <sheetData>
    <row r="1" ht="52" customHeight="1">
      <c r="A1" s="1" t="inlineStr">
        <is>
          <t>BUDGET TRACKER — DASHBOARD</t>
        </is>
      </c>
    </row>
    <row r="2" ht="24" customHeight="1">
      <c r="A2" s="2" t="inlineStr">
        <is>
          <t>Data auto-populated from the "Summary" sheet. Register transactions in the Monthly Log.</t>
        </is>
      </c>
      <c r="B2" s="3" t="n"/>
      <c r="C2" s="3" t="n"/>
      <c r="D2" s="3" t="n"/>
      <c r="E2" s="3" t="n"/>
      <c r="F2" s="3" t="n"/>
      <c r="G2" s="3" t="n"/>
      <c r="H2" s="3" t="n"/>
      <c r="I2" s="3" t="n"/>
      <c r="J2" s="3" t="n"/>
      <c r="K2" s="3" t="n"/>
      <c r="L2" s="3" t="n"/>
      <c r="M2" s="3" t="n"/>
      <c r="N2" s="3" t="n"/>
      <c r="O2" s="3" t="n"/>
      <c r="P2" s="3" t="n"/>
      <c r="Q2" s="3" t="n"/>
      <c r="R2" s="3" t="n"/>
    </row>
    <row r="3">
      <c r="A3" s="4" t="n"/>
      <c r="B3" s="4" t="n"/>
      <c r="C3" s="4" t="n"/>
      <c r="D3" s="4" t="n"/>
      <c r="E3" s="4" t="n"/>
      <c r="F3" s="4" t="n"/>
      <c r="G3" s="4" t="n"/>
      <c r="H3" s="4" t="n"/>
      <c r="I3" s="4" t="n"/>
      <c r="J3" s="4" t="n"/>
      <c r="K3" s="4" t="n"/>
      <c r="L3" s="4" t="n"/>
      <c r="M3" s="4" t="n"/>
      <c r="N3" s="4" t="n"/>
      <c r="O3" s="4" t="n"/>
      <c r="P3" s="4" t="n"/>
      <c r="Q3" s="4" t="n"/>
      <c r="R3" s="4" t="n"/>
    </row>
    <row r="4" ht="28" customHeight="1">
      <c r="A4" s="5" t="inlineStr">
        <is>
          <t>Total Income</t>
        </is>
      </c>
      <c r="B4" s="4" t="n"/>
      <c r="C4" s="4" t="n"/>
      <c r="D4" s="4" t="n"/>
      <c r="E4" s="5" t="inlineStr">
        <is>
          <t>Total Budgeted</t>
        </is>
      </c>
      <c r="F4" s="4" t="n"/>
      <c r="G4" s="4" t="n"/>
      <c r="H4" s="4" t="n"/>
      <c r="I4" s="5" t="inlineStr">
        <is>
          <t>Total Spent</t>
        </is>
      </c>
      <c r="J4" s="4" t="n"/>
      <c r="K4" s="4" t="n"/>
      <c r="L4" s="4" t="n"/>
      <c r="M4" s="5" t="inlineStr">
        <is>
          <t>Remaining</t>
        </is>
      </c>
      <c r="N4" s="4" t="n"/>
      <c r="O4" s="4" t="n"/>
      <c r="P4" s="4" t="n"/>
    </row>
    <row r="5" ht="38" customHeight="1">
      <c r="A5" s="6">
        <f>Summary!C3</f>
        <v/>
      </c>
      <c r="B5" s="4" t="n"/>
      <c r="C5" s="4" t="n"/>
      <c r="D5" s="4" t="n"/>
      <c r="E5" s="7">
        <f>Summary!C5</f>
        <v/>
      </c>
      <c r="F5" s="4" t="n"/>
      <c r="G5" s="4" t="n"/>
      <c r="H5" s="4" t="n"/>
      <c r="I5" s="8">
        <f>Summary!C7</f>
        <v/>
      </c>
      <c r="J5" s="4" t="n"/>
      <c r="K5" s="4" t="n"/>
      <c r="L5" s="4" t="n"/>
      <c r="M5" s="7">
        <f>Summary!C9</f>
        <v/>
      </c>
      <c r="N5" s="4" t="n"/>
      <c r="O5" s="4" t="n"/>
      <c r="P5" s="4" t="n"/>
    </row>
    <row r="6">
      <c r="A6" s="4" t="n"/>
      <c r="B6" s="4" t="n"/>
      <c r="C6" s="4" t="n"/>
      <c r="D6" s="4" t="n"/>
      <c r="E6" s="4" t="n"/>
      <c r="F6" s="4" t="n"/>
      <c r="G6" s="4" t="n"/>
      <c r="H6" s="4" t="n"/>
      <c r="I6" s="4" t="n"/>
      <c r="J6" s="4" t="n"/>
      <c r="K6" s="4" t="n"/>
      <c r="L6" s="4" t="n"/>
      <c r="M6" s="4" t="n"/>
      <c r="N6" s="4" t="n"/>
      <c r="O6" s="4" t="n"/>
      <c r="P6" s="4" t="n"/>
      <c r="Q6" s="4" t="n"/>
      <c r="R6" s="4" t="n"/>
    </row>
    <row r="8" ht="28" customHeight="1">
      <c r="A8" s="9" t="inlineStr">
        <is>
          <t>HOUSE LOAN</t>
        </is>
      </c>
      <c r="B8" s="10" t="n"/>
      <c r="C8" s="10" t="n"/>
      <c r="D8" s="10" t="n"/>
      <c r="E8" s="10" t="n"/>
      <c r="F8" s="10" t="n"/>
      <c r="G8" s="10" t="n"/>
      <c r="H8" s="10" t="n"/>
      <c r="J8" s="11" t="inlineStr">
        <is>
          <t>INSURANCES</t>
        </is>
      </c>
      <c r="K8" s="12" t="n"/>
      <c r="L8" s="12" t="n"/>
      <c r="M8" s="12" t="n"/>
      <c r="N8" s="12" t="n"/>
      <c r="O8" s="12" t="n"/>
      <c r="P8" s="12" t="n"/>
      <c r="Q8" s="12" t="n"/>
    </row>
    <row r="9">
      <c r="A9" s="13" t="inlineStr">
        <is>
          <t>Mortgage payment</t>
        </is>
      </c>
      <c r="B9" s="13" t="inlineStr">
        <is>
          <t>Amortisation</t>
        </is>
      </c>
      <c r="C9" s="13" t="inlineStr">
        <is>
          <t>HOA / Bostadsrättsavgift</t>
        </is>
      </c>
      <c r="D9" s="13" t="inlineStr">
        <is>
          <t>Home insurance (building)</t>
        </is>
      </c>
      <c r="E9" s="13" t="inlineStr">
        <is>
          <t>Electricity</t>
        </is>
      </c>
      <c r="F9" s="13" t="inlineStr">
        <is>
          <t>Internet</t>
        </is>
      </c>
      <c r="J9" s="13" t="inlineStr">
        <is>
          <t>Health insurance</t>
        </is>
      </c>
      <c r="K9" s="13" t="inlineStr">
        <is>
          <t>Car insurance</t>
        </is>
      </c>
      <c r="L9" s="13" t="inlineStr">
        <is>
          <t>Life insurance</t>
        </is>
      </c>
      <c r="M9" s="13" t="inlineStr">
        <is>
          <t>Pet insurance</t>
        </is>
      </c>
    </row>
    <row r="10">
      <c r="A10" s="14">
        <f>'House Loan'!E4</f>
        <v/>
      </c>
      <c r="B10" s="14">
        <f>'House Loan'!E5</f>
        <v/>
      </c>
      <c r="C10" s="14">
        <f>'House Loan'!E6</f>
        <v/>
      </c>
      <c r="D10" s="14">
        <f>'House Loan'!E7</f>
        <v/>
      </c>
      <c r="E10" s="14">
        <f>'House Loan'!E8</f>
        <v/>
      </c>
      <c r="F10" s="14">
        <f>'House Loan'!E9</f>
        <v/>
      </c>
      <c r="J10" s="14">
        <f>'Insurances'!E4</f>
        <v/>
      </c>
      <c r="K10" s="14">
        <f>'Insurances'!E5</f>
        <v/>
      </c>
      <c r="L10" s="14">
        <f>'Insurances'!E6</f>
        <v/>
      </c>
      <c r="M10" s="14">
        <f>'Insurances'!E7</f>
        <v/>
      </c>
    </row>
    <row r="23">
      <c r="A23" s="15" t="inlineStr">
        <is>
          <t>Budget:</t>
        </is>
      </c>
      <c r="B23" s="16">
        <f>Summary!C12</f>
        <v/>
      </c>
      <c r="D23" s="15" t="inlineStr">
        <is>
          <t>Spent:</t>
        </is>
      </c>
      <c r="E23" s="16">
        <f>Summary!D12</f>
        <v/>
      </c>
      <c r="G23" s="15" t="inlineStr">
        <is>
          <t>Used:</t>
        </is>
      </c>
      <c r="H23" s="17">
        <f>IFERROR(Summary!D12/Summary!C12, 0)</f>
        <v/>
      </c>
      <c r="J23" s="18" t="inlineStr">
        <is>
          <t>Budget:</t>
        </is>
      </c>
      <c r="K23" s="16">
        <f>Summary!C14</f>
        <v/>
      </c>
      <c r="M23" s="18" t="inlineStr">
        <is>
          <t>Spent:</t>
        </is>
      </c>
      <c r="N23" s="16">
        <f>Summary!D14</f>
        <v/>
      </c>
      <c r="P23" s="18" t="inlineStr">
        <is>
          <t>Used:</t>
        </is>
      </c>
      <c r="Q23" s="19">
        <f>IFERROR(Summary!D14/Summary!C14, 0)</f>
        <v/>
      </c>
    </row>
    <row r="36" ht="28" customHeight="1">
      <c r="A36" s="20" t="inlineStr">
        <is>
          <t>SUBSCRIPTIONS</t>
        </is>
      </c>
      <c r="B36" s="21" t="n"/>
      <c r="C36" s="21" t="n"/>
      <c r="D36" s="21" t="n"/>
      <c r="E36" s="21" t="n"/>
      <c r="F36" s="21" t="n"/>
      <c r="G36" s="21" t="n"/>
      <c r="H36" s="21" t="n"/>
      <c r="J36" s="22" t="inlineStr">
        <is>
          <t>SAVINGS</t>
        </is>
      </c>
      <c r="K36" s="23" t="n"/>
      <c r="L36" s="23" t="n"/>
      <c r="M36" s="23" t="n"/>
      <c r="N36" s="23" t="n"/>
      <c r="O36" s="23" t="n"/>
      <c r="P36" s="23" t="n"/>
      <c r="Q36" s="23" t="n"/>
    </row>
    <row r="37">
      <c r="A37" s="13" t="inlineStr">
        <is>
          <t>Spotify</t>
        </is>
      </c>
      <c r="B37" s="13" t="inlineStr">
        <is>
          <t>Netflix</t>
        </is>
      </c>
      <c r="C37" s="13" t="inlineStr">
        <is>
          <t>Cloud storage</t>
        </is>
      </c>
      <c r="D37" s="13" t="inlineStr">
        <is>
          <t>Gym membership</t>
        </is>
      </c>
      <c r="E37" s="13" t="inlineStr">
        <is>
          <t>News / magazine</t>
        </is>
      </c>
      <c r="J37" s="13" t="inlineStr">
        <is>
          <t>Emergency fund</t>
        </is>
      </c>
      <c r="K37" s="13" t="inlineStr">
        <is>
          <t>Investment account</t>
        </is>
      </c>
      <c r="L37" s="13" t="inlineStr">
        <is>
          <t>Vacation fund</t>
        </is>
      </c>
      <c r="M37" s="13" t="inlineStr">
        <is>
          <t>Retirement (extra)</t>
        </is>
      </c>
    </row>
    <row r="38">
      <c r="A38" s="14">
        <f>'Subscriptions'!E4</f>
        <v/>
      </c>
      <c r="B38" s="14">
        <f>'Subscriptions'!E5</f>
        <v/>
      </c>
      <c r="C38" s="14">
        <f>'Subscriptions'!E6</f>
        <v/>
      </c>
      <c r="D38" s="14">
        <f>'Subscriptions'!E7</f>
        <v/>
      </c>
      <c r="E38" s="14">
        <f>'Subscriptions'!E8</f>
        <v/>
      </c>
      <c r="J38" s="14">
        <f>'Savings'!E4</f>
        <v/>
      </c>
      <c r="K38" s="14">
        <f>'Savings'!E5</f>
        <v/>
      </c>
      <c r="L38" s="14">
        <f>'Savings'!E6</f>
        <v/>
      </c>
      <c r="M38" s="14">
        <f>'Savings'!E7</f>
        <v/>
      </c>
    </row>
    <row r="51">
      <c r="A51" s="24" t="inlineStr">
        <is>
          <t>Budget:</t>
        </is>
      </c>
      <c r="B51" s="16">
        <f>Summary!C16</f>
        <v/>
      </c>
      <c r="D51" s="24" t="inlineStr">
        <is>
          <t>Spent:</t>
        </is>
      </c>
      <c r="E51" s="16">
        <f>Summary!D16</f>
        <v/>
      </c>
      <c r="G51" s="24" t="inlineStr">
        <is>
          <t>Used:</t>
        </is>
      </c>
      <c r="H51" s="25">
        <f>IFERROR(Summary!D16/Summary!C16, 0)</f>
        <v/>
      </c>
      <c r="J51" s="26" t="inlineStr">
        <is>
          <t>Budget:</t>
        </is>
      </c>
      <c r="K51" s="16">
        <f>Summary!C18</f>
        <v/>
      </c>
      <c r="M51" s="26" t="inlineStr">
        <is>
          <t>Spent:</t>
        </is>
      </c>
      <c r="N51" s="16">
        <f>Summary!D18</f>
        <v/>
      </c>
      <c r="P51" s="26" t="inlineStr">
        <is>
          <t>Used:</t>
        </is>
      </c>
      <c r="Q51" s="27">
        <f>IFERROR(Summary!D18/Summary!C18, 0)</f>
        <v/>
      </c>
    </row>
    <row r="64" ht="28" customHeight="1">
      <c r="A64" s="28" t="inlineStr">
        <is>
          <t>MISC.</t>
        </is>
      </c>
      <c r="B64" s="29" t="n"/>
      <c r="C64" s="29" t="n"/>
      <c r="D64" s="29" t="n"/>
      <c r="E64" s="29" t="n"/>
      <c r="F64" s="29" t="n"/>
      <c r="G64" s="29" t="n"/>
      <c r="H64" s="29" t="n"/>
    </row>
    <row r="65">
      <c r="A65" s="13" t="inlineStr">
        <is>
          <t>Groceries</t>
        </is>
      </c>
      <c r="B65" s="13" t="inlineStr">
        <is>
          <t>Going out meals</t>
        </is>
      </c>
      <c r="C65" s="13" t="inlineStr">
        <is>
          <t>Transportation</t>
        </is>
      </c>
      <c r="D65" s="13" t="inlineStr">
        <is>
          <t>Clothing</t>
        </is>
      </c>
      <c r="E65" s="13" t="inlineStr">
        <is>
          <t>Entertainment</t>
        </is>
      </c>
      <c r="F65" s="13" t="inlineStr">
        <is>
          <t>Personal care</t>
        </is>
      </c>
      <c r="G65" s="13" t="inlineStr">
        <is>
          <t>Gifts</t>
        </is>
      </c>
    </row>
    <row r="66">
      <c r="A66" s="14">
        <f>'Misc.'!E4</f>
        <v/>
      </c>
      <c r="B66" s="14">
        <f>'Misc.'!E5</f>
        <v/>
      </c>
      <c r="C66" s="14">
        <f>'Misc.'!E6</f>
        <v/>
      </c>
      <c r="D66" s="14">
        <f>'Misc.'!E7</f>
        <v/>
      </c>
      <c r="E66" s="14">
        <f>'Misc.'!E8</f>
        <v/>
      </c>
      <c r="F66" s="14">
        <f>'Misc.'!E9</f>
        <v/>
      </c>
      <c r="G66" s="14">
        <f>'Misc.'!E10</f>
        <v/>
      </c>
    </row>
    <row r="79">
      <c r="A79" s="30" t="inlineStr">
        <is>
          <t>Budget:</t>
        </is>
      </c>
      <c r="B79" s="16">
        <f>Summary!C20</f>
        <v/>
      </c>
      <c r="D79" s="30" t="inlineStr">
        <is>
          <t>Spent:</t>
        </is>
      </c>
      <c r="E79" s="16">
        <f>Summary!D20</f>
        <v/>
      </c>
      <c r="G79" s="30" t="inlineStr">
        <is>
          <t>Used:</t>
        </is>
      </c>
      <c r="H79" s="31">
        <f>IFERROR(Summary!D20/Summary!C20, 0)</f>
        <v/>
      </c>
    </row>
  </sheetData>
  <mergeCells count="15">
    <mergeCell ref="M5:P5"/>
    <mergeCell ref="A5:D5"/>
    <mergeCell ref="J8:Q8"/>
    <mergeCell ref="M4:P4"/>
    <mergeCell ref="A2:R2"/>
    <mergeCell ref="A4:D4"/>
    <mergeCell ref="E4:H4"/>
    <mergeCell ref="A64:H64"/>
    <mergeCell ref="I4:L4"/>
    <mergeCell ref="A36:H36"/>
    <mergeCell ref="A1:R1"/>
    <mergeCell ref="J36:Q36"/>
    <mergeCell ref="A8:H8"/>
    <mergeCell ref="E5:H5"/>
    <mergeCell ref="I5:L5"/>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78909C"/>
    <outlinePr summaryBelow="1" summaryRight="1"/>
    <pageSetUpPr/>
  </sheetPr>
  <dimension ref="A1:E508"/>
  <sheetViews>
    <sheetView workbookViewId="0">
      <pane ySplit="2" topLeftCell="A3" activePane="bottomLeft" state="frozen"/>
      <selection pane="bottomLeft" activeCell="A1" sqref="A1"/>
    </sheetView>
  </sheetViews>
  <sheetFormatPr baseColWidth="8" defaultRowHeight="15"/>
  <cols>
    <col width="14" customWidth="1" min="1" max="1"/>
    <col width="18" customWidth="1" min="2" max="2"/>
    <col width="24" customWidth="1" min="3" max="3"/>
    <col width="14" customWidth="1" min="4" max="4"/>
    <col width="30" customWidth="1" min="5" max="5"/>
  </cols>
  <sheetData>
    <row r="1" ht="40" customHeight="1">
      <c r="A1" s="32" t="inlineStr">
        <is>
          <t>MONTHLY TRANSACTION LOG</t>
        </is>
      </c>
      <c r="B1" s="33" t="n"/>
      <c r="C1" s="33" t="n"/>
      <c r="D1" s="33" t="n"/>
      <c r="E1" s="33" t="n"/>
    </row>
    <row r="2" ht="30" customHeight="1">
      <c r="A2" s="34" t="inlineStr">
        <is>
          <t>Date</t>
        </is>
      </c>
      <c r="B2" s="34" t="inlineStr">
        <is>
          <t>Category</t>
        </is>
      </c>
      <c r="C2" s="34" t="inlineStr">
        <is>
          <t>Item</t>
        </is>
      </c>
      <c r="D2" s="34" t="inlineStr">
        <is>
          <t>Amount (SEK)</t>
        </is>
      </c>
      <c r="E2" s="34" t="inlineStr">
        <is>
          <t>Note</t>
        </is>
      </c>
    </row>
    <row r="3">
      <c r="A3" s="35" t="inlineStr">
        <is>
          <t>2026-03-01</t>
        </is>
      </c>
      <c r="B3" s="36" t="inlineStr">
        <is>
          <t>Misc.</t>
        </is>
      </c>
      <c r="C3" s="36" t="inlineStr">
        <is>
          <t>Groceries – ICA</t>
        </is>
      </c>
      <c r="D3" s="37" t="n">
        <v>850</v>
      </c>
      <c r="E3" s="38" t="inlineStr">
        <is>
          <t>Weekly shop</t>
        </is>
      </c>
    </row>
    <row r="4">
      <c r="A4" s="39" t="inlineStr">
        <is>
          <t>2026-03-03</t>
        </is>
      </c>
      <c r="B4" s="40" t="inlineStr">
        <is>
          <t>Misc.</t>
        </is>
      </c>
      <c r="C4" s="40" t="inlineStr">
        <is>
          <t>Going out meals – lunch</t>
        </is>
      </c>
      <c r="D4" s="41" t="n">
        <v>145</v>
      </c>
      <c r="E4" s="42" t="inlineStr"/>
    </row>
    <row r="5">
      <c r="A5" s="35" t="inlineStr">
        <is>
          <t>2026-03-05</t>
        </is>
      </c>
      <c r="B5" s="36" t="inlineStr">
        <is>
          <t>Subscriptions</t>
        </is>
      </c>
      <c r="C5" s="36" t="inlineStr">
        <is>
          <t>Spotify</t>
        </is>
      </c>
      <c r="D5" s="37" t="n">
        <v>129</v>
      </c>
      <c r="E5" s="38" t="inlineStr">
        <is>
          <t>Monthly</t>
        </is>
      </c>
    </row>
    <row r="6">
      <c r="A6" s="39" t="inlineStr">
        <is>
          <t>2026-03-07</t>
        </is>
      </c>
      <c r="B6" s="40" t="inlineStr">
        <is>
          <t>House Loan</t>
        </is>
      </c>
      <c r="C6" s="40" t="inlineStr">
        <is>
          <t>Electricity – Vattenfall</t>
        </is>
      </c>
      <c r="D6" s="41" t="n">
        <v>780</v>
      </c>
      <c r="E6" s="42" t="inlineStr">
        <is>
          <t>March bill</t>
        </is>
      </c>
    </row>
    <row r="7">
      <c r="A7" s="35" t="inlineStr">
        <is>
          <t>2026-03-10</t>
        </is>
      </c>
      <c r="B7" s="36" t="inlineStr">
        <is>
          <t>Misc.</t>
        </is>
      </c>
      <c r="C7" s="36" t="inlineStr">
        <is>
          <t>Going out meals – dinner</t>
        </is>
      </c>
      <c r="D7" s="37" t="n">
        <v>320</v>
      </c>
      <c r="E7" s="38" t="inlineStr"/>
    </row>
    <row r="8">
      <c r="A8" s="39" t="inlineStr">
        <is>
          <t>2026-03-15</t>
        </is>
      </c>
      <c r="B8" s="40" t="inlineStr">
        <is>
          <t>Savings</t>
        </is>
      </c>
      <c r="C8" s="40" t="inlineStr">
        <is>
          <t>Emergency fund</t>
        </is>
      </c>
      <c r="D8" s="41" t="n">
        <v>2000</v>
      </c>
      <c r="E8" s="42" t="inlineStr">
        <is>
          <t>Auto-transfer</t>
        </is>
      </c>
    </row>
    <row r="9">
      <c r="A9" s="43" t="n"/>
      <c r="B9" s="44" t="n"/>
      <c r="C9" s="44" t="n"/>
      <c r="D9" s="45" t="n"/>
      <c r="E9" s="44" t="n"/>
    </row>
    <row r="10">
      <c r="A10" s="46" t="n"/>
      <c r="B10" s="47" t="n"/>
      <c r="C10" s="47" t="n"/>
      <c r="D10" s="48" t="n"/>
      <c r="E10" s="47" t="n"/>
    </row>
    <row r="11">
      <c r="A11" s="43" t="n"/>
      <c r="B11" s="44" t="n"/>
      <c r="C11" s="44" t="n"/>
      <c r="D11" s="45" t="n"/>
      <c r="E11" s="44" t="n"/>
    </row>
    <row r="12">
      <c r="A12" s="46" t="n"/>
      <c r="B12" s="47" t="n"/>
      <c r="C12" s="47" t="n"/>
      <c r="D12" s="48" t="n"/>
      <c r="E12" s="47" t="n"/>
    </row>
    <row r="13">
      <c r="A13" s="43" t="n"/>
      <c r="B13" s="44" t="n"/>
      <c r="C13" s="44" t="n"/>
      <c r="D13" s="45" t="n"/>
      <c r="E13" s="44" t="n"/>
    </row>
    <row r="14">
      <c r="A14" s="46" t="n"/>
      <c r="B14" s="47" t="n"/>
      <c r="C14" s="47" t="n"/>
      <c r="D14" s="48" t="n"/>
      <c r="E14" s="47" t="n"/>
    </row>
    <row r="15">
      <c r="A15" s="43" t="n"/>
      <c r="B15" s="44" t="n"/>
      <c r="C15" s="44" t="n"/>
      <c r="D15" s="45" t="n"/>
      <c r="E15" s="44" t="n"/>
    </row>
    <row r="16">
      <c r="A16" s="46" t="n"/>
      <c r="B16" s="47" t="n"/>
      <c r="C16" s="47" t="n"/>
      <c r="D16" s="48" t="n"/>
      <c r="E16" s="47" t="n"/>
    </row>
    <row r="17">
      <c r="A17" s="43" t="n"/>
      <c r="B17" s="44" t="n"/>
      <c r="C17" s="44" t="n"/>
      <c r="D17" s="45" t="n"/>
      <c r="E17" s="44" t="n"/>
    </row>
    <row r="18">
      <c r="A18" s="46" t="n"/>
      <c r="B18" s="47" t="n"/>
      <c r="C18" s="47" t="n"/>
      <c r="D18" s="48" t="n"/>
      <c r="E18" s="47" t="n"/>
    </row>
    <row r="19">
      <c r="A19" s="43" t="n"/>
      <c r="B19" s="44" t="n"/>
      <c r="C19" s="44" t="n"/>
      <c r="D19" s="45" t="n"/>
      <c r="E19" s="44" t="n"/>
    </row>
    <row r="20">
      <c r="A20" s="46" t="n"/>
      <c r="B20" s="47" t="n"/>
      <c r="C20" s="47" t="n"/>
      <c r="D20" s="48" t="n"/>
      <c r="E20" s="47" t="n"/>
    </row>
    <row r="21">
      <c r="A21" s="43" t="n"/>
      <c r="B21" s="44" t="n"/>
      <c r="C21" s="44" t="n"/>
      <c r="D21" s="45" t="n"/>
      <c r="E21" s="44" t="n"/>
    </row>
    <row r="22">
      <c r="A22" s="46" t="n"/>
      <c r="B22" s="47" t="n"/>
      <c r="C22" s="47" t="n"/>
      <c r="D22" s="48" t="n"/>
      <c r="E22" s="47" t="n"/>
    </row>
    <row r="23">
      <c r="A23" s="43" t="n"/>
      <c r="B23" s="44" t="n"/>
      <c r="C23" s="44" t="n"/>
      <c r="D23" s="45" t="n"/>
      <c r="E23" s="44" t="n"/>
    </row>
    <row r="24">
      <c r="A24" s="46" t="n"/>
      <c r="B24" s="47" t="n"/>
      <c r="C24" s="47" t="n"/>
      <c r="D24" s="48" t="n"/>
      <c r="E24" s="47" t="n"/>
    </row>
    <row r="25">
      <c r="A25" s="43" t="n"/>
      <c r="B25" s="44" t="n"/>
      <c r="C25" s="44" t="n"/>
      <c r="D25" s="45" t="n"/>
      <c r="E25" s="44" t="n"/>
    </row>
    <row r="26">
      <c r="A26" s="46" t="n"/>
      <c r="B26" s="47" t="n"/>
      <c r="C26" s="47" t="n"/>
      <c r="D26" s="48" t="n"/>
      <c r="E26" s="47" t="n"/>
    </row>
    <row r="27">
      <c r="A27" s="43" t="n"/>
      <c r="B27" s="44" t="n"/>
      <c r="C27" s="44" t="n"/>
      <c r="D27" s="45" t="n"/>
      <c r="E27" s="44" t="n"/>
    </row>
    <row r="28">
      <c r="A28" s="46" t="n"/>
      <c r="B28" s="47" t="n"/>
      <c r="C28" s="47" t="n"/>
      <c r="D28" s="48" t="n"/>
      <c r="E28" s="47" t="n"/>
    </row>
    <row r="29">
      <c r="A29" s="43" t="n"/>
      <c r="B29" s="44" t="n"/>
      <c r="C29" s="44" t="n"/>
      <c r="D29" s="45" t="n"/>
      <c r="E29" s="44" t="n"/>
    </row>
    <row r="30">
      <c r="A30" s="46" t="n"/>
      <c r="B30" s="47" t="n"/>
      <c r="C30" s="47" t="n"/>
      <c r="D30" s="48" t="n"/>
      <c r="E30" s="47" t="n"/>
    </row>
    <row r="31">
      <c r="A31" s="43" t="n"/>
      <c r="B31" s="44" t="n"/>
      <c r="C31" s="44" t="n"/>
      <c r="D31" s="45" t="n"/>
      <c r="E31" s="44" t="n"/>
    </row>
    <row r="32">
      <c r="A32" s="46" t="n"/>
      <c r="B32" s="47" t="n"/>
      <c r="C32" s="47" t="n"/>
      <c r="D32" s="48" t="n"/>
      <c r="E32" s="47" t="n"/>
    </row>
    <row r="33">
      <c r="A33" s="43" t="n"/>
      <c r="B33" s="44" t="n"/>
      <c r="C33" s="44" t="n"/>
      <c r="D33" s="45" t="n"/>
      <c r="E33" s="44" t="n"/>
    </row>
    <row r="34">
      <c r="A34" s="46" t="n"/>
      <c r="B34" s="47" t="n"/>
      <c r="C34" s="47" t="n"/>
      <c r="D34" s="48" t="n"/>
      <c r="E34" s="47" t="n"/>
    </row>
    <row r="35">
      <c r="A35" s="43" t="n"/>
      <c r="B35" s="44" t="n"/>
      <c r="C35" s="44" t="n"/>
      <c r="D35" s="45" t="n"/>
      <c r="E35" s="44" t="n"/>
    </row>
    <row r="36">
      <c r="A36" s="46" t="n"/>
      <c r="B36" s="47" t="n"/>
      <c r="C36" s="47" t="n"/>
      <c r="D36" s="48" t="n"/>
      <c r="E36" s="47" t="n"/>
    </row>
    <row r="37">
      <c r="A37" s="43" t="n"/>
      <c r="B37" s="44" t="n"/>
      <c r="C37" s="44" t="n"/>
      <c r="D37" s="45" t="n"/>
      <c r="E37" s="44" t="n"/>
    </row>
    <row r="38">
      <c r="A38" s="46" t="n"/>
      <c r="B38" s="47" t="n"/>
      <c r="C38" s="47" t="n"/>
      <c r="D38" s="48" t="n"/>
      <c r="E38" s="47" t="n"/>
    </row>
    <row r="39">
      <c r="A39" s="43" t="n"/>
      <c r="B39" s="44" t="n"/>
      <c r="C39" s="44" t="n"/>
      <c r="D39" s="45" t="n"/>
      <c r="E39" s="44" t="n"/>
    </row>
    <row r="40">
      <c r="A40" s="46" t="n"/>
      <c r="B40" s="47" t="n"/>
      <c r="C40" s="47" t="n"/>
      <c r="D40" s="48" t="n"/>
      <c r="E40" s="47" t="n"/>
    </row>
    <row r="41">
      <c r="A41" s="43" t="n"/>
      <c r="B41" s="44" t="n"/>
      <c r="C41" s="44" t="n"/>
      <c r="D41" s="45" t="n"/>
      <c r="E41" s="44" t="n"/>
    </row>
    <row r="42">
      <c r="A42" s="46" t="n"/>
      <c r="B42" s="47" t="n"/>
      <c r="C42" s="47" t="n"/>
      <c r="D42" s="48" t="n"/>
      <c r="E42" s="47" t="n"/>
    </row>
    <row r="43">
      <c r="A43" s="43" t="n"/>
      <c r="B43" s="44" t="n"/>
      <c r="C43" s="44" t="n"/>
      <c r="D43" s="45" t="n"/>
      <c r="E43" s="44" t="n"/>
    </row>
    <row r="44">
      <c r="A44" s="46" t="n"/>
      <c r="B44" s="47" t="n"/>
      <c r="C44" s="47" t="n"/>
      <c r="D44" s="48" t="n"/>
      <c r="E44" s="47" t="n"/>
    </row>
    <row r="45">
      <c r="A45" s="43" t="n"/>
      <c r="B45" s="44" t="n"/>
      <c r="C45" s="44" t="n"/>
      <c r="D45" s="45" t="n"/>
      <c r="E45" s="44" t="n"/>
    </row>
    <row r="46">
      <c r="A46" s="46" t="n"/>
      <c r="B46" s="47" t="n"/>
      <c r="C46" s="47" t="n"/>
      <c r="D46" s="48" t="n"/>
      <c r="E46" s="47" t="n"/>
    </row>
    <row r="47">
      <c r="A47" s="43" t="n"/>
      <c r="B47" s="44" t="n"/>
      <c r="C47" s="44" t="n"/>
      <c r="D47" s="45" t="n"/>
      <c r="E47" s="44" t="n"/>
    </row>
    <row r="48">
      <c r="A48" s="46" t="n"/>
      <c r="B48" s="47" t="n"/>
      <c r="C48" s="47" t="n"/>
      <c r="D48" s="48" t="n"/>
      <c r="E48" s="47" t="n"/>
    </row>
    <row r="49">
      <c r="A49" s="43" t="n"/>
      <c r="B49" s="44" t="n"/>
      <c r="C49" s="44" t="n"/>
      <c r="D49" s="45" t="n"/>
      <c r="E49" s="44" t="n"/>
    </row>
    <row r="50">
      <c r="A50" s="46" t="n"/>
      <c r="B50" s="47" t="n"/>
      <c r="C50" s="47" t="n"/>
      <c r="D50" s="48" t="n"/>
      <c r="E50" s="47" t="n"/>
    </row>
    <row r="51">
      <c r="A51" s="43" t="n"/>
      <c r="B51" s="44" t="n"/>
      <c r="C51" s="44" t="n"/>
      <c r="D51" s="45" t="n"/>
      <c r="E51" s="44" t="n"/>
    </row>
    <row r="52">
      <c r="A52" s="46" t="n"/>
      <c r="B52" s="47" t="n"/>
      <c r="C52" s="47" t="n"/>
      <c r="D52" s="48" t="n"/>
      <c r="E52" s="47" t="n"/>
    </row>
    <row r="53">
      <c r="A53" s="43" t="n"/>
      <c r="B53" s="44" t="n"/>
      <c r="C53" s="44" t="n"/>
      <c r="D53" s="45" t="n"/>
      <c r="E53" s="44" t="n"/>
    </row>
    <row r="54">
      <c r="A54" s="46" t="n"/>
      <c r="B54" s="47" t="n"/>
      <c r="C54" s="47" t="n"/>
      <c r="D54" s="48" t="n"/>
      <c r="E54" s="47" t="n"/>
    </row>
    <row r="55">
      <c r="A55" s="43" t="n"/>
      <c r="B55" s="44" t="n"/>
      <c r="C55" s="44" t="n"/>
      <c r="D55" s="45" t="n"/>
      <c r="E55" s="44" t="n"/>
    </row>
    <row r="56">
      <c r="A56" s="46" t="n"/>
      <c r="B56" s="47" t="n"/>
      <c r="C56" s="47" t="n"/>
      <c r="D56" s="48" t="n"/>
      <c r="E56" s="47" t="n"/>
    </row>
    <row r="57">
      <c r="A57" s="43" t="n"/>
      <c r="B57" s="44" t="n"/>
      <c r="C57" s="44" t="n"/>
      <c r="D57" s="45" t="n"/>
      <c r="E57" s="44" t="n"/>
    </row>
    <row r="58">
      <c r="A58" s="46" t="n"/>
      <c r="B58" s="47" t="n"/>
      <c r="C58" s="47" t="n"/>
      <c r="D58" s="48" t="n"/>
      <c r="E58" s="47" t="n"/>
    </row>
    <row r="59">
      <c r="A59" s="43" t="n"/>
      <c r="B59" s="44" t="n"/>
      <c r="C59" s="44" t="n"/>
      <c r="D59" s="45" t="n"/>
      <c r="E59" s="44" t="n"/>
    </row>
    <row r="60">
      <c r="A60" s="46" t="n"/>
      <c r="B60" s="47" t="n"/>
      <c r="C60" s="47" t="n"/>
      <c r="D60" s="48" t="n"/>
      <c r="E60" s="47" t="n"/>
    </row>
    <row r="61">
      <c r="A61" s="43" t="n"/>
      <c r="B61" s="44" t="n"/>
      <c r="C61" s="44" t="n"/>
      <c r="D61" s="45" t="n"/>
      <c r="E61" s="44" t="n"/>
    </row>
    <row r="62">
      <c r="A62" s="46" t="n"/>
      <c r="B62" s="47" t="n"/>
      <c r="C62" s="47" t="n"/>
      <c r="D62" s="48" t="n"/>
      <c r="E62" s="47" t="n"/>
    </row>
    <row r="63">
      <c r="A63" s="43" t="n"/>
      <c r="B63" s="44" t="n"/>
      <c r="C63" s="44" t="n"/>
      <c r="D63" s="45" t="n"/>
      <c r="E63" s="44" t="n"/>
    </row>
    <row r="64">
      <c r="A64" s="46" t="n"/>
      <c r="B64" s="47" t="n"/>
      <c r="C64" s="47" t="n"/>
      <c r="D64" s="48" t="n"/>
      <c r="E64" s="47" t="n"/>
    </row>
    <row r="65">
      <c r="A65" s="43" t="n"/>
      <c r="B65" s="44" t="n"/>
      <c r="C65" s="44" t="n"/>
      <c r="D65" s="45" t="n"/>
      <c r="E65" s="44" t="n"/>
    </row>
    <row r="66">
      <c r="A66" s="46" t="n"/>
      <c r="B66" s="47" t="n"/>
      <c r="C66" s="47" t="n"/>
      <c r="D66" s="48" t="n"/>
      <c r="E66" s="47" t="n"/>
    </row>
    <row r="67">
      <c r="A67" s="43" t="n"/>
      <c r="B67" s="44" t="n"/>
      <c r="C67" s="44" t="n"/>
      <c r="D67" s="45" t="n"/>
      <c r="E67" s="44" t="n"/>
    </row>
    <row r="68">
      <c r="A68" s="46" t="n"/>
      <c r="B68" s="47" t="n"/>
      <c r="C68" s="47" t="n"/>
      <c r="D68" s="48" t="n"/>
      <c r="E68" s="47" t="n"/>
    </row>
    <row r="69">
      <c r="A69" s="43" t="n"/>
      <c r="B69" s="44" t="n"/>
      <c r="C69" s="44" t="n"/>
      <c r="D69" s="45" t="n"/>
      <c r="E69" s="44" t="n"/>
    </row>
    <row r="70">
      <c r="A70" s="46" t="n"/>
      <c r="B70" s="47" t="n"/>
      <c r="C70" s="47" t="n"/>
      <c r="D70" s="48" t="n"/>
      <c r="E70" s="47" t="n"/>
    </row>
    <row r="71">
      <c r="A71" s="43" t="n"/>
      <c r="B71" s="44" t="n"/>
      <c r="C71" s="44" t="n"/>
      <c r="D71" s="45" t="n"/>
      <c r="E71" s="44" t="n"/>
    </row>
    <row r="72">
      <c r="A72" s="46" t="n"/>
      <c r="B72" s="47" t="n"/>
      <c r="C72" s="47" t="n"/>
      <c r="D72" s="48" t="n"/>
      <c r="E72" s="47" t="n"/>
    </row>
    <row r="73">
      <c r="A73" s="43" t="n"/>
      <c r="B73" s="44" t="n"/>
      <c r="C73" s="44" t="n"/>
      <c r="D73" s="45" t="n"/>
      <c r="E73" s="44" t="n"/>
    </row>
    <row r="74">
      <c r="A74" s="46" t="n"/>
      <c r="B74" s="47" t="n"/>
      <c r="C74" s="47" t="n"/>
      <c r="D74" s="48" t="n"/>
      <c r="E74" s="47" t="n"/>
    </row>
    <row r="75">
      <c r="A75" s="43" t="n"/>
      <c r="B75" s="44" t="n"/>
      <c r="C75" s="44" t="n"/>
      <c r="D75" s="45" t="n"/>
      <c r="E75" s="44" t="n"/>
    </row>
    <row r="76">
      <c r="A76" s="46" t="n"/>
      <c r="B76" s="47" t="n"/>
      <c r="C76" s="47" t="n"/>
      <c r="D76" s="48" t="n"/>
      <c r="E76" s="47" t="n"/>
    </row>
    <row r="77">
      <c r="A77" s="43" t="n"/>
      <c r="B77" s="44" t="n"/>
      <c r="C77" s="44" t="n"/>
      <c r="D77" s="45" t="n"/>
      <c r="E77" s="44" t="n"/>
    </row>
    <row r="78">
      <c r="A78" s="46" t="n"/>
      <c r="B78" s="47" t="n"/>
      <c r="C78" s="47" t="n"/>
      <c r="D78" s="48" t="n"/>
      <c r="E78" s="47" t="n"/>
    </row>
    <row r="79">
      <c r="A79" s="43" t="n"/>
      <c r="B79" s="44" t="n"/>
      <c r="C79" s="44" t="n"/>
      <c r="D79" s="45" t="n"/>
      <c r="E79" s="44" t="n"/>
    </row>
    <row r="80">
      <c r="A80" s="46" t="n"/>
      <c r="B80" s="47" t="n"/>
      <c r="C80" s="47" t="n"/>
      <c r="D80" s="48" t="n"/>
      <c r="E80" s="47" t="n"/>
    </row>
    <row r="81">
      <c r="A81" s="43" t="n"/>
      <c r="B81" s="44" t="n"/>
      <c r="C81" s="44" t="n"/>
      <c r="D81" s="45" t="n"/>
      <c r="E81" s="44" t="n"/>
    </row>
    <row r="82">
      <c r="A82" s="46" t="n"/>
      <c r="B82" s="47" t="n"/>
      <c r="C82" s="47" t="n"/>
      <c r="D82" s="48" t="n"/>
      <c r="E82" s="47" t="n"/>
    </row>
    <row r="83">
      <c r="A83" s="43" t="n"/>
      <c r="B83" s="44" t="n"/>
      <c r="C83" s="44" t="n"/>
      <c r="D83" s="45" t="n"/>
      <c r="E83" s="44" t="n"/>
    </row>
    <row r="84">
      <c r="A84" s="46" t="n"/>
      <c r="B84" s="47" t="n"/>
      <c r="C84" s="47" t="n"/>
      <c r="D84" s="48" t="n"/>
      <c r="E84" s="47" t="n"/>
    </row>
    <row r="85">
      <c r="A85" s="43" t="n"/>
      <c r="B85" s="44" t="n"/>
      <c r="C85" s="44" t="n"/>
      <c r="D85" s="45" t="n"/>
      <c r="E85" s="44" t="n"/>
    </row>
    <row r="86">
      <c r="A86" s="46" t="n"/>
      <c r="B86" s="47" t="n"/>
      <c r="C86" s="47" t="n"/>
      <c r="D86" s="48" t="n"/>
      <c r="E86" s="47" t="n"/>
    </row>
    <row r="87">
      <c r="A87" s="43" t="n"/>
      <c r="B87" s="44" t="n"/>
      <c r="C87" s="44" t="n"/>
      <c r="D87" s="45" t="n"/>
      <c r="E87" s="44" t="n"/>
    </row>
    <row r="88">
      <c r="A88" s="46" t="n"/>
      <c r="B88" s="47" t="n"/>
      <c r="C88" s="47" t="n"/>
      <c r="D88" s="48" t="n"/>
      <c r="E88" s="47" t="n"/>
    </row>
    <row r="89">
      <c r="A89" s="43" t="n"/>
      <c r="B89" s="44" t="n"/>
      <c r="C89" s="44" t="n"/>
      <c r="D89" s="45" t="n"/>
      <c r="E89" s="44" t="n"/>
    </row>
    <row r="90">
      <c r="A90" s="46" t="n"/>
      <c r="B90" s="47" t="n"/>
      <c r="C90" s="47" t="n"/>
      <c r="D90" s="48" t="n"/>
      <c r="E90" s="47" t="n"/>
    </row>
    <row r="91">
      <c r="A91" s="43" t="n"/>
      <c r="B91" s="44" t="n"/>
      <c r="C91" s="44" t="n"/>
      <c r="D91" s="45" t="n"/>
      <c r="E91" s="44" t="n"/>
    </row>
    <row r="92">
      <c r="A92" s="46" t="n"/>
      <c r="B92" s="47" t="n"/>
      <c r="C92" s="47" t="n"/>
      <c r="D92" s="48" t="n"/>
      <c r="E92" s="47" t="n"/>
    </row>
    <row r="93">
      <c r="A93" s="43" t="n"/>
      <c r="B93" s="44" t="n"/>
      <c r="C93" s="44" t="n"/>
      <c r="D93" s="45" t="n"/>
      <c r="E93" s="44" t="n"/>
    </row>
    <row r="94">
      <c r="A94" s="46" t="n"/>
      <c r="B94" s="47" t="n"/>
      <c r="C94" s="47" t="n"/>
      <c r="D94" s="48" t="n"/>
      <c r="E94" s="47" t="n"/>
    </row>
    <row r="95">
      <c r="A95" s="43" t="n"/>
      <c r="B95" s="44" t="n"/>
      <c r="C95" s="44" t="n"/>
      <c r="D95" s="45" t="n"/>
      <c r="E95" s="44" t="n"/>
    </row>
    <row r="96">
      <c r="A96" s="46" t="n"/>
      <c r="B96" s="47" t="n"/>
      <c r="C96" s="47" t="n"/>
      <c r="D96" s="48" t="n"/>
      <c r="E96" s="47" t="n"/>
    </row>
    <row r="97">
      <c r="A97" s="43" t="n"/>
      <c r="B97" s="44" t="n"/>
      <c r="C97" s="44" t="n"/>
      <c r="D97" s="45" t="n"/>
      <c r="E97" s="44" t="n"/>
    </row>
    <row r="98">
      <c r="A98" s="46" t="n"/>
      <c r="B98" s="47" t="n"/>
      <c r="C98" s="47" t="n"/>
      <c r="D98" s="48" t="n"/>
      <c r="E98" s="47" t="n"/>
    </row>
    <row r="99">
      <c r="A99" s="43" t="n"/>
      <c r="B99" s="44" t="n"/>
      <c r="C99" s="44" t="n"/>
      <c r="D99" s="45" t="n"/>
      <c r="E99" s="44" t="n"/>
    </row>
    <row r="100">
      <c r="A100" s="46" t="n"/>
      <c r="B100" s="47" t="n"/>
      <c r="C100" s="47" t="n"/>
      <c r="D100" s="48" t="n"/>
      <c r="E100" s="47" t="n"/>
    </row>
    <row r="101">
      <c r="A101" s="43" t="n"/>
      <c r="B101" s="44" t="n"/>
      <c r="C101" s="44" t="n"/>
      <c r="D101" s="45" t="n"/>
      <c r="E101" s="44" t="n"/>
    </row>
    <row r="102">
      <c r="A102" s="46" t="n"/>
      <c r="B102" s="47" t="n"/>
      <c r="C102" s="47" t="n"/>
      <c r="D102" s="48" t="n"/>
      <c r="E102" s="47" t="n"/>
    </row>
    <row r="103">
      <c r="A103" s="43" t="n"/>
      <c r="B103" s="44" t="n"/>
      <c r="C103" s="44" t="n"/>
      <c r="D103" s="45" t="n"/>
      <c r="E103" s="44" t="n"/>
    </row>
    <row r="104">
      <c r="A104" s="46" t="n"/>
      <c r="B104" s="47" t="n"/>
      <c r="C104" s="47" t="n"/>
      <c r="D104" s="48" t="n"/>
      <c r="E104" s="47" t="n"/>
    </row>
    <row r="105">
      <c r="A105" s="43" t="n"/>
      <c r="B105" s="44" t="n"/>
      <c r="C105" s="44" t="n"/>
      <c r="D105" s="45" t="n"/>
      <c r="E105" s="44" t="n"/>
    </row>
    <row r="106">
      <c r="A106" s="46" t="n"/>
      <c r="B106" s="47" t="n"/>
      <c r="C106" s="47" t="n"/>
      <c r="D106" s="48" t="n"/>
      <c r="E106" s="47" t="n"/>
    </row>
    <row r="107">
      <c r="A107" s="43" t="n"/>
      <c r="B107" s="44" t="n"/>
      <c r="C107" s="44" t="n"/>
      <c r="D107" s="45" t="n"/>
      <c r="E107" s="44" t="n"/>
    </row>
    <row r="108">
      <c r="A108" s="46" t="n"/>
      <c r="B108" s="47" t="n"/>
      <c r="C108" s="47" t="n"/>
      <c r="D108" s="48" t="n"/>
      <c r="E108" s="47" t="n"/>
    </row>
    <row r="109">
      <c r="A109" s="43" t="n"/>
      <c r="B109" s="44" t="n"/>
      <c r="C109" s="44" t="n"/>
      <c r="D109" s="45" t="n"/>
      <c r="E109" s="44" t="n"/>
    </row>
    <row r="110">
      <c r="A110" s="46" t="n"/>
      <c r="B110" s="47" t="n"/>
      <c r="C110" s="47" t="n"/>
      <c r="D110" s="48" t="n"/>
      <c r="E110" s="47" t="n"/>
    </row>
    <row r="111">
      <c r="A111" s="43" t="n"/>
      <c r="B111" s="44" t="n"/>
      <c r="C111" s="44" t="n"/>
      <c r="D111" s="45" t="n"/>
      <c r="E111" s="44" t="n"/>
    </row>
    <row r="112">
      <c r="A112" s="46" t="n"/>
      <c r="B112" s="47" t="n"/>
      <c r="C112" s="47" t="n"/>
      <c r="D112" s="48" t="n"/>
      <c r="E112" s="47" t="n"/>
    </row>
    <row r="113">
      <c r="A113" s="43" t="n"/>
      <c r="B113" s="44" t="n"/>
      <c r="C113" s="44" t="n"/>
      <c r="D113" s="45" t="n"/>
      <c r="E113" s="44" t="n"/>
    </row>
    <row r="114">
      <c r="A114" s="46" t="n"/>
      <c r="B114" s="47" t="n"/>
      <c r="C114" s="47" t="n"/>
      <c r="D114" s="48" t="n"/>
      <c r="E114" s="47" t="n"/>
    </row>
    <row r="115">
      <c r="A115" s="43" t="n"/>
      <c r="B115" s="44" t="n"/>
      <c r="C115" s="44" t="n"/>
      <c r="D115" s="45" t="n"/>
      <c r="E115" s="44" t="n"/>
    </row>
    <row r="116">
      <c r="A116" s="46" t="n"/>
      <c r="B116" s="47" t="n"/>
      <c r="C116" s="47" t="n"/>
      <c r="D116" s="48" t="n"/>
      <c r="E116" s="47" t="n"/>
    </row>
    <row r="117">
      <c r="A117" s="43" t="n"/>
      <c r="B117" s="44" t="n"/>
      <c r="C117" s="44" t="n"/>
      <c r="D117" s="45" t="n"/>
      <c r="E117" s="44" t="n"/>
    </row>
    <row r="118">
      <c r="A118" s="46" t="n"/>
      <c r="B118" s="47" t="n"/>
      <c r="C118" s="47" t="n"/>
      <c r="D118" s="48" t="n"/>
      <c r="E118" s="47" t="n"/>
    </row>
    <row r="119">
      <c r="A119" s="43" t="n"/>
      <c r="B119" s="44" t="n"/>
      <c r="C119" s="44" t="n"/>
      <c r="D119" s="45" t="n"/>
      <c r="E119" s="44" t="n"/>
    </row>
    <row r="120">
      <c r="A120" s="46" t="n"/>
      <c r="B120" s="47" t="n"/>
      <c r="C120" s="47" t="n"/>
      <c r="D120" s="48" t="n"/>
      <c r="E120" s="47" t="n"/>
    </row>
    <row r="121">
      <c r="A121" s="43" t="n"/>
      <c r="B121" s="44" t="n"/>
      <c r="C121" s="44" t="n"/>
      <c r="D121" s="45" t="n"/>
      <c r="E121" s="44" t="n"/>
    </row>
    <row r="122">
      <c r="A122" s="46" t="n"/>
      <c r="B122" s="47" t="n"/>
      <c r="C122" s="47" t="n"/>
      <c r="D122" s="48" t="n"/>
      <c r="E122" s="47" t="n"/>
    </row>
    <row r="123">
      <c r="A123" s="43" t="n"/>
      <c r="B123" s="44" t="n"/>
      <c r="C123" s="44" t="n"/>
      <c r="D123" s="45" t="n"/>
      <c r="E123" s="44" t="n"/>
    </row>
    <row r="124">
      <c r="A124" s="46" t="n"/>
      <c r="B124" s="47" t="n"/>
      <c r="C124" s="47" t="n"/>
      <c r="D124" s="48" t="n"/>
      <c r="E124" s="47" t="n"/>
    </row>
    <row r="125">
      <c r="A125" s="43" t="n"/>
      <c r="B125" s="44" t="n"/>
      <c r="C125" s="44" t="n"/>
      <c r="D125" s="45" t="n"/>
      <c r="E125" s="44" t="n"/>
    </row>
    <row r="126">
      <c r="A126" s="46" t="n"/>
      <c r="B126" s="47" t="n"/>
      <c r="C126" s="47" t="n"/>
      <c r="D126" s="48" t="n"/>
      <c r="E126" s="47" t="n"/>
    </row>
    <row r="127">
      <c r="A127" s="43" t="n"/>
      <c r="B127" s="44" t="n"/>
      <c r="C127" s="44" t="n"/>
      <c r="D127" s="45" t="n"/>
      <c r="E127" s="44" t="n"/>
    </row>
    <row r="128">
      <c r="A128" s="46" t="n"/>
      <c r="B128" s="47" t="n"/>
      <c r="C128" s="47" t="n"/>
      <c r="D128" s="48" t="n"/>
      <c r="E128" s="47" t="n"/>
    </row>
    <row r="129">
      <c r="A129" s="43" t="n"/>
      <c r="B129" s="44" t="n"/>
      <c r="C129" s="44" t="n"/>
      <c r="D129" s="45" t="n"/>
      <c r="E129" s="44" t="n"/>
    </row>
    <row r="130">
      <c r="A130" s="46" t="n"/>
      <c r="B130" s="47" t="n"/>
      <c r="C130" s="47" t="n"/>
      <c r="D130" s="48" t="n"/>
      <c r="E130" s="47" t="n"/>
    </row>
    <row r="131">
      <c r="A131" s="43" t="n"/>
      <c r="B131" s="44" t="n"/>
      <c r="C131" s="44" t="n"/>
      <c r="D131" s="45" t="n"/>
      <c r="E131" s="44" t="n"/>
    </row>
    <row r="132">
      <c r="A132" s="46" t="n"/>
      <c r="B132" s="47" t="n"/>
      <c r="C132" s="47" t="n"/>
      <c r="D132" s="48" t="n"/>
      <c r="E132" s="47" t="n"/>
    </row>
    <row r="133">
      <c r="A133" s="43" t="n"/>
      <c r="B133" s="44" t="n"/>
      <c r="C133" s="44" t="n"/>
      <c r="D133" s="45" t="n"/>
      <c r="E133" s="44" t="n"/>
    </row>
    <row r="134">
      <c r="A134" s="46" t="n"/>
      <c r="B134" s="47" t="n"/>
      <c r="C134" s="47" t="n"/>
      <c r="D134" s="48" t="n"/>
      <c r="E134" s="47" t="n"/>
    </row>
    <row r="135">
      <c r="A135" s="43" t="n"/>
      <c r="B135" s="44" t="n"/>
      <c r="C135" s="44" t="n"/>
      <c r="D135" s="45" t="n"/>
      <c r="E135" s="44" t="n"/>
    </row>
    <row r="136">
      <c r="A136" s="46" t="n"/>
      <c r="B136" s="47" t="n"/>
      <c r="C136" s="47" t="n"/>
      <c r="D136" s="48" t="n"/>
      <c r="E136" s="47" t="n"/>
    </row>
    <row r="137">
      <c r="A137" s="43" t="n"/>
      <c r="B137" s="44" t="n"/>
      <c r="C137" s="44" t="n"/>
      <c r="D137" s="45" t="n"/>
      <c r="E137" s="44" t="n"/>
    </row>
    <row r="138">
      <c r="A138" s="46" t="n"/>
      <c r="B138" s="47" t="n"/>
      <c r="C138" s="47" t="n"/>
      <c r="D138" s="48" t="n"/>
      <c r="E138" s="47" t="n"/>
    </row>
    <row r="139">
      <c r="A139" s="43" t="n"/>
      <c r="B139" s="44" t="n"/>
      <c r="C139" s="44" t="n"/>
      <c r="D139" s="45" t="n"/>
      <c r="E139" s="44" t="n"/>
    </row>
    <row r="140">
      <c r="A140" s="46" t="n"/>
      <c r="B140" s="47" t="n"/>
      <c r="C140" s="47" t="n"/>
      <c r="D140" s="48" t="n"/>
      <c r="E140" s="47" t="n"/>
    </row>
    <row r="141">
      <c r="A141" s="43" t="n"/>
      <c r="B141" s="44" t="n"/>
      <c r="C141" s="44" t="n"/>
      <c r="D141" s="45" t="n"/>
      <c r="E141" s="44" t="n"/>
    </row>
    <row r="142">
      <c r="A142" s="46" t="n"/>
      <c r="B142" s="47" t="n"/>
      <c r="C142" s="47" t="n"/>
      <c r="D142" s="48" t="n"/>
      <c r="E142" s="47" t="n"/>
    </row>
    <row r="143">
      <c r="A143" s="43" t="n"/>
      <c r="B143" s="44" t="n"/>
      <c r="C143" s="44" t="n"/>
      <c r="D143" s="45" t="n"/>
      <c r="E143" s="44" t="n"/>
    </row>
    <row r="144">
      <c r="A144" s="46" t="n"/>
      <c r="B144" s="47" t="n"/>
      <c r="C144" s="47" t="n"/>
      <c r="D144" s="48" t="n"/>
      <c r="E144" s="47" t="n"/>
    </row>
    <row r="145">
      <c r="A145" s="43" t="n"/>
      <c r="B145" s="44" t="n"/>
      <c r="C145" s="44" t="n"/>
      <c r="D145" s="45" t="n"/>
      <c r="E145" s="44" t="n"/>
    </row>
    <row r="146">
      <c r="A146" s="46" t="n"/>
      <c r="B146" s="47" t="n"/>
      <c r="C146" s="47" t="n"/>
      <c r="D146" s="48" t="n"/>
      <c r="E146" s="47" t="n"/>
    </row>
    <row r="147">
      <c r="A147" s="43" t="n"/>
      <c r="B147" s="44" t="n"/>
      <c r="C147" s="44" t="n"/>
      <c r="D147" s="45" t="n"/>
      <c r="E147" s="44" t="n"/>
    </row>
    <row r="148">
      <c r="A148" s="46" t="n"/>
      <c r="B148" s="47" t="n"/>
      <c r="C148" s="47" t="n"/>
      <c r="D148" s="48" t="n"/>
      <c r="E148" s="47" t="n"/>
    </row>
    <row r="149">
      <c r="A149" s="43" t="n"/>
      <c r="B149" s="44" t="n"/>
      <c r="C149" s="44" t="n"/>
      <c r="D149" s="45" t="n"/>
      <c r="E149" s="44" t="n"/>
    </row>
    <row r="150">
      <c r="A150" s="46" t="n"/>
      <c r="B150" s="47" t="n"/>
      <c r="C150" s="47" t="n"/>
      <c r="D150" s="48" t="n"/>
      <c r="E150" s="47" t="n"/>
    </row>
    <row r="151">
      <c r="A151" s="43" t="n"/>
      <c r="B151" s="44" t="n"/>
      <c r="C151" s="44" t="n"/>
      <c r="D151" s="45" t="n"/>
      <c r="E151" s="44" t="n"/>
    </row>
    <row r="152">
      <c r="A152" s="46" t="n"/>
      <c r="B152" s="47" t="n"/>
      <c r="C152" s="47" t="n"/>
      <c r="D152" s="48" t="n"/>
      <c r="E152" s="47" t="n"/>
    </row>
    <row r="153">
      <c r="A153" s="43" t="n"/>
      <c r="B153" s="44" t="n"/>
      <c r="C153" s="44" t="n"/>
      <c r="D153" s="45" t="n"/>
      <c r="E153" s="44" t="n"/>
    </row>
    <row r="154">
      <c r="A154" s="46" t="n"/>
      <c r="B154" s="47" t="n"/>
      <c r="C154" s="47" t="n"/>
      <c r="D154" s="48" t="n"/>
      <c r="E154" s="47" t="n"/>
    </row>
    <row r="155">
      <c r="A155" s="43" t="n"/>
      <c r="B155" s="44" t="n"/>
      <c r="C155" s="44" t="n"/>
      <c r="D155" s="45" t="n"/>
      <c r="E155" s="44" t="n"/>
    </row>
    <row r="156">
      <c r="A156" s="46" t="n"/>
      <c r="B156" s="47" t="n"/>
      <c r="C156" s="47" t="n"/>
      <c r="D156" s="48" t="n"/>
      <c r="E156" s="47" t="n"/>
    </row>
    <row r="157">
      <c r="A157" s="43" t="n"/>
      <c r="B157" s="44" t="n"/>
      <c r="C157" s="44" t="n"/>
      <c r="D157" s="45" t="n"/>
      <c r="E157" s="44" t="n"/>
    </row>
    <row r="158">
      <c r="A158" s="46" t="n"/>
      <c r="B158" s="47" t="n"/>
      <c r="C158" s="47" t="n"/>
      <c r="D158" s="48" t="n"/>
      <c r="E158" s="47" t="n"/>
    </row>
    <row r="159">
      <c r="A159" s="43" t="n"/>
      <c r="B159" s="44" t="n"/>
      <c r="C159" s="44" t="n"/>
      <c r="D159" s="45" t="n"/>
      <c r="E159" s="44" t="n"/>
    </row>
    <row r="160">
      <c r="A160" s="46" t="n"/>
      <c r="B160" s="47" t="n"/>
      <c r="C160" s="47" t="n"/>
      <c r="D160" s="48" t="n"/>
      <c r="E160" s="47" t="n"/>
    </row>
    <row r="161">
      <c r="A161" s="43" t="n"/>
      <c r="B161" s="44" t="n"/>
      <c r="C161" s="44" t="n"/>
      <c r="D161" s="45" t="n"/>
      <c r="E161" s="44" t="n"/>
    </row>
    <row r="162">
      <c r="A162" s="46" t="n"/>
      <c r="B162" s="47" t="n"/>
      <c r="C162" s="47" t="n"/>
      <c r="D162" s="48" t="n"/>
      <c r="E162" s="47" t="n"/>
    </row>
    <row r="163">
      <c r="A163" s="43" t="n"/>
      <c r="B163" s="44" t="n"/>
      <c r="C163" s="44" t="n"/>
      <c r="D163" s="45" t="n"/>
      <c r="E163" s="44" t="n"/>
    </row>
    <row r="164">
      <c r="A164" s="46" t="n"/>
      <c r="B164" s="47" t="n"/>
      <c r="C164" s="47" t="n"/>
      <c r="D164" s="48" t="n"/>
      <c r="E164" s="47" t="n"/>
    </row>
    <row r="165">
      <c r="A165" s="43" t="n"/>
      <c r="B165" s="44" t="n"/>
      <c r="C165" s="44" t="n"/>
      <c r="D165" s="45" t="n"/>
      <c r="E165" s="44" t="n"/>
    </row>
    <row r="166">
      <c r="A166" s="46" t="n"/>
      <c r="B166" s="47" t="n"/>
      <c r="C166" s="47" t="n"/>
      <c r="D166" s="48" t="n"/>
      <c r="E166" s="47" t="n"/>
    </row>
    <row r="167">
      <c r="A167" s="43" t="n"/>
      <c r="B167" s="44" t="n"/>
      <c r="C167" s="44" t="n"/>
      <c r="D167" s="45" t="n"/>
      <c r="E167" s="44" t="n"/>
    </row>
    <row r="168">
      <c r="A168" s="46" t="n"/>
      <c r="B168" s="47" t="n"/>
      <c r="C168" s="47" t="n"/>
      <c r="D168" s="48" t="n"/>
      <c r="E168" s="47" t="n"/>
    </row>
    <row r="169">
      <c r="A169" s="43" t="n"/>
      <c r="B169" s="44" t="n"/>
      <c r="C169" s="44" t="n"/>
      <c r="D169" s="45" t="n"/>
      <c r="E169" s="44" t="n"/>
    </row>
    <row r="170">
      <c r="A170" s="46" t="n"/>
      <c r="B170" s="47" t="n"/>
      <c r="C170" s="47" t="n"/>
      <c r="D170" s="48" t="n"/>
      <c r="E170" s="47" t="n"/>
    </row>
    <row r="171">
      <c r="A171" s="43" t="n"/>
      <c r="B171" s="44" t="n"/>
      <c r="C171" s="44" t="n"/>
      <c r="D171" s="45" t="n"/>
      <c r="E171" s="44" t="n"/>
    </row>
    <row r="172">
      <c r="A172" s="46" t="n"/>
      <c r="B172" s="47" t="n"/>
      <c r="C172" s="47" t="n"/>
      <c r="D172" s="48" t="n"/>
      <c r="E172" s="47" t="n"/>
    </row>
    <row r="173">
      <c r="A173" s="43" t="n"/>
      <c r="B173" s="44" t="n"/>
      <c r="C173" s="44" t="n"/>
      <c r="D173" s="45" t="n"/>
      <c r="E173" s="44" t="n"/>
    </row>
    <row r="174">
      <c r="A174" s="46" t="n"/>
      <c r="B174" s="47" t="n"/>
      <c r="C174" s="47" t="n"/>
      <c r="D174" s="48" t="n"/>
      <c r="E174" s="47" t="n"/>
    </row>
    <row r="175">
      <c r="A175" s="43" t="n"/>
      <c r="B175" s="44" t="n"/>
      <c r="C175" s="44" t="n"/>
      <c r="D175" s="45" t="n"/>
      <c r="E175" s="44" t="n"/>
    </row>
    <row r="176">
      <c r="A176" s="46" t="n"/>
      <c r="B176" s="47" t="n"/>
      <c r="C176" s="47" t="n"/>
      <c r="D176" s="48" t="n"/>
      <c r="E176" s="47" t="n"/>
    </row>
    <row r="177">
      <c r="A177" s="43" t="n"/>
      <c r="B177" s="44" t="n"/>
      <c r="C177" s="44" t="n"/>
      <c r="D177" s="45" t="n"/>
      <c r="E177" s="44" t="n"/>
    </row>
    <row r="178">
      <c r="A178" s="46" t="n"/>
      <c r="B178" s="47" t="n"/>
      <c r="C178" s="47" t="n"/>
      <c r="D178" s="48" t="n"/>
      <c r="E178" s="47" t="n"/>
    </row>
    <row r="179">
      <c r="A179" s="43" t="n"/>
      <c r="B179" s="44" t="n"/>
      <c r="C179" s="44" t="n"/>
      <c r="D179" s="45" t="n"/>
      <c r="E179" s="44" t="n"/>
    </row>
    <row r="180">
      <c r="A180" s="46" t="n"/>
      <c r="B180" s="47" t="n"/>
      <c r="C180" s="47" t="n"/>
      <c r="D180" s="48" t="n"/>
      <c r="E180" s="47" t="n"/>
    </row>
    <row r="181">
      <c r="A181" s="43" t="n"/>
      <c r="B181" s="44" t="n"/>
      <c r="C181" s="44" t="n"/>
      <c r="D181" s="45" t="n"/>
      <c r="E181" s="44" t="n"/>
    </row>
    <row r="182">
      <c r="A182" s="46" t="n"/>
      <c r="B182" s="47" t="n"/>
      <c r="C182" s="47" t="n"/>
      <c r="D182" s="48" t="n"/>
      <c r="E182" s="47" t="n"/>
    </row>
    <row r="183">
      <c r="A183" s="43" t="n"/>
      <c r="B183" s="44" t="n"/>
      <c r="C183" s="44" t="n"/>
      <c r="D183" s="45" t="n"/>
      <c r="E183" s="44" t="n"/>
    </row>
    <row r="184">
      <c r="A184" s="46" t="n"/>
      <c r="B184" s="47" t="n"/>
      <c r="C184" s="47" t="n"/>
      <c r="D184" s="48" t="n"/>
      <c r="E184" s="47" t="n"/>
    </row>
    <row r="185">
      <c r="A185" s="43" t="n"/>
      <c r="B185" s="44" t="n"/>
      <c r="C185" s="44" t="n"/>
      <c r="D185" s="45" t="n"/>
      <c r="E185" s="44" t="n"/>
    </row>
    <row r="186">
      <c r="A186" s="46" t="n"/>
      <c r="B186" s="47" t="n"/>
      <c r="C186" s="47" t="n"/>
      <c r="D186" s="48" t="n"/>
      <c r="E186" s="47" t="n"/>
    </row>
    <row r="187">
      <c r="A187" s="43" t="n"/>
      <c r="B187" s="44" t="n"/>
      <c r="C187" s="44" t="n"/>
      <c r="D187" s="45" t="n"/>
      <c r="E187" s="44" t="n"/>
    </row>
    <row r="188">
      <c r="A188" s="46" t="n"/>
      <c r="B188" s="47" t="n"/>
      <c r="C188" s="47" t="n"/>
      <c r="D188" s="48" t="n"/>
      <c r="E188" s="47" t="n"/>
    </row>
    <row r="189">
      <c r="A189" s="43" t="n"/>
      <c r="B189" s="44" t="n"/>
      <c r="C189" s="44" t="n"/>
      <c r="D189" s="45" t="n"/>
      <c r="E189" s="44" t="n"/>
    </row>
    <row r="190">
      <c r="A190" s="46" t="n"/>
      <c r="B190" s="47" t="n"/>
      <c r="C190" s="47" t="n"/>
      <c r="D190" s="48" t="n"/>
      <c r="E190" s="47" t="n"/>
    </row>
    <row r="191">
      <c r="A191" s="43" t="n"/>
      <c r="B191" s="44" t="n"/>
      <c r="C191" s="44" t="n"/>
      <c r="D191" s="45" t="n"/>
      <c r="E191" s="44" t="n"/>
    </row>
    <row r="192">
      <c r="A192" s="46" t="n"/>
      <c r="B192" s="47" t="n"/>
      <c r="C192" s="47" t="n"/>
      <c r="D192" s="48" t="n"/>
      <c r="E192" s="47" t="n"/>
    </row>
    <row r="193">
      <c r="A193" s="43" t="n"/>
      <c r="B193" s="44" t="n"/>
      <c r="C193" s="44" t="n"/>
      <c r="D193" s="45" t="n"/>
      <c r="E193" s="44" t="n"/>
    </row>
    <row r="194">
      <c r="A194" s="46" t="n"/>
      <c r="B194" s="47" t="n"/>
      <c r="C194" s="47" t="n"/>
      <c r="D194" s="48" t="n"/>
      <c r="E194" s="47" t="n"/>
    </row>
    <row r="195">
      <c r="A195" s="43" t="n"/>
      <c r="B195" s="44" t="n"/>
      <c r="C195" s="44" t="n"/>
      <c r="D195" s="45" t="n"/>
      <c r="E195" s="44" t="n"/>
    </row>
    <row r="196">
      <c r="A196" s="46" t="n"/>
      <c r="B196" s="47" t="n"/>
      <c r="C196" s="47" t="n"/>
      <c r="D196" s="48" t="n"/>
      <c r="E196" s="47" t="n"/>
    </row>
    <row r="197">
      <c r="A197" s="43" t="n"/>
      <c r="B197" s="44" t="n"/>
      <c r="C197" s="44" t="n"/>
      <c r="D197" s="45" t="n"/>
      <c r="E197" s="44" t="n"/>
    </row>
    <row r="198">
      <c r="A198" s="46" t="n"/>
      <c r="B198" s="47" t="n"/>
      <c r="C198" s="47" t="n"/>
      <c r="D198" s="48" t="n"/>
      <c r="E198" s="47" t="n"/>
    </row>
    <row r="199">
      <c r="A199" s="43" t="n"/>
      <c r="B199" s="44" t="n"/>
      <c r="C199" s="44" t="n"/>
      <c r="D199" s="45" t="n"/>
      <c r="E199" s="44" t="n"/>
    </row>
    <row r="200">
      <c r="A200" s="46" t="n"/>
      <c r="B200" s="47" t="n"/>
      <c r="C200" s="47" t="n"/>
      <c r="D200" s="48" t="n"/>
      <c r="E200" s="47" t="n"/>
    </row>
    <row r="201">
      <c r="A201" s="43" t="n"/>
      <c r="B201" s="44" t="n"/>
      <c r="C201" s="44" t="n"/>
      <c r="D201" s="45" t="n"/>
      <c r="E201" s="44" t="n"/>
    </row>
    <row r="202">
      <c r="A202" s="46" t="n"/>
      <c r="B202" s="47" t="n"/>
      <c r="C202" s="47" t="n"/>
      <c r="D202" s="48" t="n"/>
      <c r="E202" s="47" t="n"/>
    </row>
    <row r="203">
      <c r="A203" s="43" t="n"/>
      <c r="B203" s="44" t="n"/>
      <c r="C203" s="44" t="n"/>
      <c r="D203" s="45" t="n"/>
      <c r="E203" s="44" t="n"/>
    </row>
    <row r="204">
      <c r="A204" s="46" t="n"/>
      <c r="B204" s="47" t="n"/>
      <c r="C204" s="47" t="n"/>
      <c r="D204" s="48" t="n"/>
      <c r="E204" s="47" t="n"/>
    </row>
    <row r="205">
      <c r="A205" s="43" t="n"/>
      <c r="B205" s="44" t="n"/>
      <c r="C205" s="44" t="n"/>
      <c r="D205" s="45" t="n"/>
      <c r="E205" s="44" t="n"/>
    </row>
    <row r="206">
      <c r="A206" s="46" t="n"/>
      <c r="B206" s="47" t="n"/>
      <c r="C206" s="47" t="n"/>
      <c r="D206" s="48" t="n"/>
      <c r="E206" s="47" t="n"/>
    </row>
    <row r="207">
      <c r="A207" s="43" t="n"/>
      <c r="B207" s="44" t="n"/>
      <c r="C207" s="44" t="n"/>
      <c r="D207" s="45" t="n"/>
      <c r="E207" s="44" t="n"/>
    </row>
    <row r="208">
      <c r="A208" s="46" t="n"/>
      <c r="B208" s="47" t="n"/>
      <c r="C208" s="47" t="n"/>
      <c r="D208" s="48" t="n"/>
      <c r="E208" s="47" t="n"/>
    </row>
    <row r="209">
      <c r="A209" s="43" t="n"/>
      <c r="B209" s="44" t="n"/>
      <c r="C209" s="44" t="n"/>
      <c r="D209" s="45" t="n"/>
      <c r="E209" s="44" t="n"/>
    </row>
    <row r="210">
      <c r="A210" s="46" t="n"/>
      <c r="B210" s="47" t="n"/>
      <c r="C210" s="47" t="n"/>
      <c r="D210" s="48" t="n"/>
      <c r="E210" s="47" t="n"/>
    </row>
    <row r="211">
      <c r="A211" s="43" t="n"/>
      <c r="B211" s="44" t="n"/>
      <c r="C211" s="44" t="n"/>
      <c r="D211" s="45" t="n"/>
      <c r="E211" s="44" t="n"/>
    </row>
    <row r="212">
      <c r="A212" s="46" t="n"/>
      <c r="B212" s="47" t="n"/>
      <c r="C212" s="47" t="n"/>
      <c r="D212" s="48" t="n"/>
      <c r="E212" s="47" t="n"/>
    </row>
    <row r="213">
      <c r="A213" s="43" t="n"/>
      <c r="B213" s="44" t="n"/>
      <c r="C213" s="44" t="n"/>
      <c r="D213" s="45" t="n"/>
      <c r="E213" s="44" t="n"/>
    </row>
    <row r="214">
      <c r="A214" s="46" t="n"/>
      <c r="B214" s="47" t="n"/>
      <c r="C214" s="47" t="n"/>
      <c r="D214" s="48" t="n"/>
      <c r="E214" s="47" t="n"/>
    </row>
    <row r="215">
      <c r="A215" s="43" t="n"/>
      <c r="B215" s="44" t="n"/>
      <c r="C215" s="44" t="n"/>
      <c r="D215" s="45" t="n"/>
      <c r="E215" s="44" t="n"/>
    </row>
    <row r="216">
      <c r="A216" s="46" t="n"/>
      <c r="B216" s="47" t="n"/>
      <c r="C216" s="47" t="n"/>
      <c r="D216" s="48" t="n"/>
      <c r="E216" s="47" t="n"/>
    </row>
    <row r="217">
      <c r="A217" s="43" t="n"/>
      <c r="B217" s="44" t="n"/>
      <c r="C217" s="44" t="n"/>
      <c r="D217" s="45" t="n"/>
      <c r="E217" s="44" t="n"/>
    </row>
    <row r="218">
      <c r="A218" s="46" t="n"/>
      <c r="B218" s="47" t="n"/>
      <c r="C218" s="47" t="n"/>
      <c r="D218" s="48" t="n"/>
      <c r="E218" s="47" t="n"/>
    </row>
    <row r="219">
      <c r="A219" s="43" t="n"/>
      <c r="B219" s="44" t="n"/>
      <c r="C219" s="44" t="n"/>
      <c r="D219" s="45" t="n"/>
      <c r="E219" s="44" t="n"/>
    </row>
    <row r="220">
      <c r="A220" s="46" t="n"/>
      <c r="B220" s="47" t="n"/>
      <c r="C220" s="47" t="n"/>
      <c r="D220" s="48" t="n"/>
      <c r="E220" s="47" t="n"/>
    </row>
    <row r="221">
      <c r="A221" s="43" t="n"/>
      <c r="B221" s="44" t="n"/>
      <c r="C221" s="44" t="n"/>
      <c r="D221" s="45" t="n"/>
      <c r="E221" s="44" t="n"/>
    </row>
    <row r="222">
      <c r="A222" s="46" t="n"/>
      <c r="B222" s="47" t="n"/>
      <c r="C222" s="47" t="n"/>
      <c r="D222" s="48" t="n"/>
      <c r="E222" s="47" t="n"/>
    </row>
    <row r="223">
      <c r="A223" s="43" t="n"/>
      <c r="B223" s="44" t="n"/>
      <c r="C223" s="44" t="n"/>
      <c r="D223" s="45" t="n"/>
      <c r="E223" s="44" t="n"/>
    </row>
    <row r="224">
      <c r="A224" s="46" t="n"/>
      <c r="B224" s="47" t="n"/>
      <c r="C224" s="47" t="n"/>
      <c r="D224" s="48" t="n"/>
      <c r="E224" s="47" t="n"/>
    </row>
    <row r="225">
      <c r="A225" s="43" t="n"/>
      <c r="B225" s="44" t="n"/>
      <c r="C225" s="44" t="n"/>
      <c r="D225" s="45" t="n"/>
      <c r="E225" s="44" t="n"/>
    </row>
    <row r="226">
      <c r="A226" s="46" t="n"/>
      <c r="B226" s="47" t="n"/>
      <c r="C226" s="47" t="n"/>
      <c r="D226" s="48" t="n"/>
      <c r="E226" s="47" t="n"/>
    </row>
    <row r="227">
      <c r="A227" s="43" t="n"/>
      <c r="B227" s="44" t="n"/>
      <c r="C227" s="44" t="n"/>
      <c r="D227" s="45" t="n"/>
      <c r="E227" s="44" t="n"/>
    </row>
    <row r="228">
      <c r="A228" s="46" t="n"/>
      <c r="B228" s="47" t="n"/>
      <c r="C228" s="47" t="n"/>
      <c r="D228" s="48" t="n"/>
      <c r="E228" s="47" t="n"/>
    </row>
    <row r="229">
      <c r="A229" s="43" t="n"/>
      <c r="B229" s="44" t="n"/>
      <c r="C229" s="44" t="n"/>
      <c r="D229" s="45" t="n"/>
      <c r="E229" s="44" t="n"/>
    </row>
    <row r="230">
      <c r="A230" s="46" t="n"/>
      <c r="B230" s="47" t="n"/>
      <c r="C230" s="47" t="n"/>
      <c r="D230" s="48" t="n"/>
      <c r="E230" s="47" t="n"/>
    </row>
    <row r="231">
      <c r="A231" s="43" t="n"/>
      <c r="B231" s="44" t="n"/>
      <c r="C231" s="44" t="n"/>
      <c r="D231" s="45" t="n"/>
      <c r="E231" s="44" t="n"/>
    </row>
    <row r="232">
      <c r="A232" s="46" t="n"/>
      <c r="B232" s="47" t="n"/>
      <c r="C232" s="47" t="n"/>
      <c r="D232" s="48" t="n"/>
      <c r="E232" s="47" t="n"/>
    </row>
    <row r="233">
      <c r="A233" s="43" t="n"/>
      <c r="B233" s="44" t="n"/>
      <c r="C233" s="44" t="n"/>
      <c r="D233" s="45" t="n"/>
      <c r="E233" s="44" t="n"/>
    </row>
    <row r="234">
      <c r="A234" s="46" t="n"/>
      <c r="B234" s="47" t="n"/>
      <c r="C234" s="47" t="n"/>
      <c r="D234" s="48" t="n"/>
      <c r="E234" s="47" t="n"/>
    </row>
    <row r="235">
      <c r="A235" s="43" t="n"/>
      <c r="B235" s="44" t="n"/>
      <c r="C235" s="44" t="n"/>
      <c r="D235" s="45" t="n"/>
      <c r="E235" s="44" t="n"/>
    </row>
    <row r="236">
      <c r="A236" s="46" t="n"/>
      <c r="B236" s="47" t="n"/>
      <c r="C236" s="47" t="n"/>
      <c r="D236" s="48" t="n"/>
      <c r="E236" s="47" t="n"/>
    </row>
    <row r="237">
      <c r="A237" s="43" t="n"/>
      <c r="B237" s="44" t="n"/>
      <c r="C237" s="44" t="n"/>
      <c r="D237" s="45" t="n"/>
      <c r="E237" s="44" t="n"/>
    </row>
    <row r="238">
      <c r="A238" s="46" t="n"/>
      <c r="B238" s="47" t="n"/>
      <c r="C238" s="47" t="n"/>
      <c r="D238" s="48" t="n"/>
      <c r="E238" s="47" t="n"/>
    </row>
    <row r="239">
      <c r="A239" s="43" t="n"/>
      <c r="B239" s="44" t="n"/>
      <c r="C239" s="44" t="n"/>
      <c r="D239" s="45" t="n"/>
      <c r="E239" s="44" t="n"/>
    </row>
    <row r="240">
      <c r="A240" s="46" t="n"/>
      <c r="B240" s="47" t="n"/>
      <c r="C240" s="47" t="n"/>
      <c r="D240" s="48" t="n"/>
      <c r="E240" s="47" t="n"/>
    </row>
    <row r="241">
      <c r="A241" s="43" t="n"/>
      <c r="B241" s="44" t="n"/>
      <c r="C241" s="44" t="n"/>
      <c r="D241" s="45" t="n"/>
      <c r="E241" s="44" t="n"/>
    </row>
    <row r="242">
      <c r="A242" s="46" t="n"/>
      <c r="B242" s="47" t="n"/>
      <c r="C242" s="47" t="n"/>
      <c r="D242" s="48" t="n"/>
      <c r="E242" s="47" t="n"/>
    </row>
    <row r="243">
      <c r="A243" s="43" t="n"/>
      <c r="B243" s="44" t="n"/>
      <c r="C243" s="44" t="n"/>
      <c r="D243" s="45" t="n"/>
      <c r="E243" s="44" t="n"/>
    </row>
    <row r="244">
      <c r="A244" s="46" t="n"/>
      <c r="B244" s="47" t="n"/>
      <c r="C244" s="47" t="n"/>
      <c r="D244" s="48" t="n"/>
      <c r="E244" s="47" t="n"/>
    </row>
    <row r="245">
      <c r="A245" s="43" t="n"/>
      <c r="B245" s="44" t="n"/>
      <c r="C245" s="44" t="n"/>
      <c r="D245" s="45" t="n"/>
      <c r="E245" s="44" t="n"/>
    </row>
    <row r="246">
      <c r="A246" s="46" t="n"/>
      <c r="B246" s="47" t="n"/>
      <c r="C246" s="47" t="n"/>
      <c r="D246" s="48" t="n"/>
      <c r="E246" s="47" t="n"/>
    </row>
    <row r="247">
      <c r="A247" s="43" t="n"/>
      <c r="B247" s="44" t="n"/>
      <c r="C247" s="44" t="n"/>
      <c r="D247" s="45" t="n"/>
      <c r="E247" s="44" t="n"/>
    </row>
    <row r="248">
      <c r="A248" s="46" t="n"/>
      <c r="B248" s="47" t="n"/>
      <c r="C248" s="47" t="n"/>
      <c r="D248" s="48" t="n"/>
      <c r="E248" s="47" t="n"/>
    </row>
    <row r="249">
      <c r="A249" s="43" t="n"/>
      <c r="B249" s="44" t="n"/>
      <c r="C249" s="44" t="n"/>
      <c r="D249" s="45" t="n"/>
      <c r="E249" s="44" t="n"/>
    </row>
    <row r="250">
      <c r="A250" s="46" t="n"/>
      <c r="B250" s="47" t="n"/>
      <c r="C250" s="47" t="n"/>
      <c r="D250" s="48" t="n"/>
      <c r="E250" s="47" t="n"/>
    </row>
    <row r="251">
      <c r="A251" s="43" t="n"/>
      <c r="B251" s="44" t="n"/>
      <c r="C251" s="44" t="n"/>
      <c r="D251" s="45" t="n"/>
      <c r="E251" s="44" t="n"/>
    </row>
    <row r="252">
      <c r="A252" s="46" t="n"/>
      <c r="B252" s="47" t="n"/>
      <c r="C252" s="47" t="n"/>
      <c r="D252" s="48" t="n"/>
      <c r="E252" s="47" t="n"/>
    </row>
    <row r="253">
      <c r="A253" s="43" t="n"/>
      <c r="B253" s="44" t="n"/>
      <c r="C253" s="44" t="n"/>
      <c r="D253" s="45" t="n"/>
      <c r="E253" s="44" t="n"/>
    </row>
    <row r="254">
      <c r="A254" s="46" t="n"/>
      <c r="B254" s="47" t="n"/>
      <c r="C254" s="47" t="n"/>
      <c r="D254" s="48" t="n"/>
      <c r="E254" s="47" t="n"/>
    </row>
    <row r="255">
      <c r="A255" s="43" t="n"/>
      <c r="B255" s="44" t="n"/>
      <c r="C255" s="44" t="n"/>
      <c r="D255" s="45" t="n"/>
      <c r="E255" s="44" t="n"/>
    </row>
    <row r="256">
      <c r="A256" s="46" t="n"/>
      <c r="B256" s="47" t="n"/>
      <c r="C256" s="47" t="n"/>
      <c r="D256" s="48" t="n"/>
      <c r="E256" s="47" t="n"/>
    </row>
    <row r="257">
      <c r="A257" s="43" t="n"/>
      <c r="B257" s="44" t="n"/>
      <c r="C257" s="44" t="n"/>
      <c r="D257" s="45" t="n"/>
      <c r="E257" s="44" t="n"/>
    </row>
    <row r="258">
      <c r="A258" s="46" t="n"/>
      <c r="B258" s="47" t="n"/>
      <c r="C258" s="47" t="n"/>
      <c r="D258" s="48" t="n"/>
      <c r="E258" s="47" t="n"/>
    </row>
    <row r="259">
      <c r="A259" s="43" t="n"/>
      <c r="B259" s="44" t="n"/>
      <c r="C259" s="44" t="n"/>
      <c r="D259" s="45" t="n"/>
      <c r="E259" s="44" t="n"/>
    </row>
    <row r="260">
      <c r="A260" s="46" t="n"/>
      <c r="B260" s="47" t="n"/>
      <c r="C260" s="47" t="n"/>
      <c r="D260" s="48" t="n"/>
      <c r="E260" s="47" t="n"/>
    </row>
    <row r="261">
      <c r="A261" s="43" t="n"/>
      <c r="B261" s="44" t="n"/>
      <c r="C261" s="44" t="n"/>
      <c r="D261" s="45" t="n"/>
      <c r="E261" s="44" t="n"/>
    </row>
    <row r="262">
      <c r="A262" s="46" t="n"/>
      <c r="B262" s="47" t="n"/>
      <c r="C262" s="47" t="n"/>
      <c r="D262" s="48" t="n"/>
      <c r="E262" s="47" t="n"/>
    </row>
    <row r="263">
      <c r="A263" s="43" t="n"/>
      <c r="B263" s="44" t="n"/>
      <c r="C263" s="44" t="n"/>
      <c r="D263" s="45" t="n"/>
      <c r="E263" s="44" t="n"/>
    </row>
    <row r="264">
      <c r="A264" s="46" t="n"/>
      <c r="B264" s="47" t="n"/>
      <c r="C264" s="47" t="n"/>
      <c r="D264" s="48" t="n"/>
      <c r="E264" s="47" t="n"/>
    </row>
    <row r="265">
      <c r="A265" s="43" t="n"/>
      <c r="B265" s="44" t="n"/>
      <c r="C265" s="44" t="n"/>
      <c r="D265" s="45" t="n"/>
      <c r="E265" s="44" t="n"/>
    </row>
    <row r="266">
      <c r="A266" s="46" t="n"/>
      <c r="B266" s="47" t="n"/>
      <c r="C266" s="47" t="n"/>
      <c r="D266" s="48" t="n"/>
      <c r="E266" s="47" t="n"/>
    </row>
    <row r="267">
      <c r="A267" s="43" t="n"/>
      <c r="B267" s="44" t="n"/>
      <c r="C267" s="44" t="n"/>
      <c r="D267" s="45" t="n"/>
      <c r="E267" s="44" t="n"/>
    </row>
    <row r="268">
      <c r="A268" s="46" t="n"/>
      <c r="B268" s="47" t="n"/>
      <c r="C268" s="47" t="n"/>
      <c r="D268" s="48" t="n"/>
      <c r="E268" s="47" t="n"/>
    </row>
    <row r="269">
      <c r="A269" s="43" t="n"/>
      <c r="B269" s="44" t="n"/>
      <c r="C269" s="44" t="n"/>
      <c r="D269" s="45" t="n"/>
      <c r="E269" s="44" t="n"/>
    </row>
    <row r="270">
      <c r="A270" s="46" t="n"/>
      <c r="B270" s="47" t="n"/>
      <c r="C270" s="47" t="n"/>
      <c r="D270" s="48" t="n"/>
      <c r="E270" s="47" t="n"/>
    </row>
    <row r="271">
      <c r="A271" s="43" t="n"/>
      <c r="B271" s="44" t="n"/>
      <c r="C271" s="44" t="n"/>
      <c r="D271" s="45" t="n"/>
      <c r="E271" s="44" t="n"/>
    </row>
    <row r="272">
      <c r="A272" s="46" t="n"/>
      <c r="B272" s="47" t="n"/>
      <c r="C272" s="47" t="n"/>
      <c r="D272" s="48" t="n"/>
      <c r="E272" s="47" t="n"/>
    </row>
    <row r="273">
      <c r="A273" s="43" t="n"/>
      <c r="B273" s="44" t="n"/>
      <c r="C273" s="44" t="n"/>
      <c r="D273" s="45" t="n"/>
      <c r="E273" s="44" t="n"/>
    </row>
    <row r="274">
      <c r="A274" s="46" t="n"/>
      <c r="B274" s="47" t="n"/>
      <c r="C274" s="47" t="n"/>
      <c r="D274" s="48" t="n"/>
      <c r="E274" s="47" t="n"/>
    </row>
    <row r="275">
      <c r="A275" s="43" t="n"/>
      <c r="B275" s="44" t="n"/>
      <c r="C275" s="44" t="n"/>
      <c r="D275" s="45" t="n"/>
      <c r="E275" s="44" t="n"/>
    </row>
    <row r="276">
      <c r="A276" s="46" t="n"/>
      <c r="B276" s="47" t="n"/>
      <c r="C276" s="47" t="n"/>
      <c r="D276" s="48" t="n"/>
      <c r="E276" s="47" t="n"/>
    </row>
    <row r="277">
      <c r="A277" s="43" t="n"/>
      <c r="B277" s="44" t="n"/>
      <c r="C277" s="44" t="n"/>
      <c r="D277" s="45" t="n"/>
      <c r="E277" s="44" t="n"/>
    </row>
    <row r="278">
      <c r="A278" s="46" t="n"/>
      <c r="B278" s="47" t="n"/>
      <c r="C278" s="47" t="n"/>
      <c r="D278" s="48" t="n"/>
      <c r="E278" s="47" t="n"/>
    </row>
    <row r="279">
      <c r="A279" s="43" t="n"/>
      <c r="B279" s="44" t="n"/>
      <c r="C279" s="44" t="n"/>
      <c r="D279" s="45" t="n"/>
      <c r="E279" s="44" t="n"/>
    </row>
    <row r="280">
      <c r="A280" s="46" t="n"/>
      <c r="B280" s="47" t="n"/>
      <c r="C280" s="47" t="n"/>
      <c r="D280" s="48" t="n"/>
      <c r="E280" s="47" t="n"/>
    </row>
    <row r="281">
      <c r="A281" s="43" t="n"/>
      <c r="B281" s="44" t="n"/>
      <c r="C281" s="44" t="n"/>
      <c r="D281" s="45" t="n"/>
      <c r="E281" s="44" t="n"/>
    </row>
    <row r="282">
      <c r="A282" s="46" t="n"/>
      <c r="B282" s="47" t="n"/>
      <c r="C282" s="47" t="n"/>
      <c r="D282" s="48" t="n"/>
      <c r="E282" s="47" t="n"/>
    </row>
    <row r="283">
      <c r="A283" s="43" t="n"/>
      <c r="B283" s="44" t="n"/>
      <c r="C283" s="44" t="n"/>
      <c r="D283" s="45" t="n"/>
      <c r="E283" s="44" t="n"/>
    </row>
    <row r="284">
      <c r="A284" s="46" t="n"/>
      <c r="B284" s="47" t="n"/>
      <c r="C284" s="47" t="n"/>
      <c r="D284" s="48" t="n"/>
      <c r="E284" s="47" t="n"/>
    </row>
    <row r="285">
      <c r="A285" s="43" t="n"/>
      <c r="B285" s="44" t="n"/>
      <c r="C285" s="44" t="n"/>
      <c r="D285" s="45" t="n"/>
      <c r="E285" s="44" t="n"/>
    </row>
    <row r="286">
      <c r="A286" s="46" t="n"/>
      <c r="B286" s="47" t="n"/>
      <c r="C286" s="47" t="n"/>
      <c r="D286" s="48" t="n"/>
      <c r="E286" s="47" t="n"/>
    </row>
    <row r="287">
      <c r="A287" s="43" t="n"/>
      <c r="B287" s="44" t="n"/>
      <c r="C287" s="44" t="n"/>
      <c r="D287" s="45" t="n"/>
      <c r="E287" s="44" t="n"/>
    </row>
    <row r="288">
      <c r="A288" s="46" t="n"/>
      <c r="B288" s="47" t="n"/>
      <c r="C288" s="47" t="n"/>
      <c r="D288" s="48" t="n"/>
      <c r="E288" s="47" t="n"/>
    </row>
    <row r="289">
      <c r="A289" s="43" t="n"/>
      <c r="B289" s="44" t="n"/>
      <c r="C289" s="44" t="n"/>
      <c r="D289" s="45" t="n"/>
      <c r="E289" s="44" t="n"/>
    </row>
    <row r="290">
      <c r="A290" s="46" t="n"/>
      <c r="B290" s="47" t="n"/>
      <c r="C290" s="47" t="n"/>
      <c r="D290" s="48" t="n"/>
      <c r="E290" s="47" t="n"/>
    </row>
    <row r="291">
      <c r="A291" s="43" t="n"/>
      <c r="B291" s="44" t="n"/>
      <c r="C291" s="44" t="n"/>
      <c r="D291" s="45" t="n"/>
      <c r="E291" s="44" t="n"/>
    </row>
    <row r="292">
      <c r="A292" s="46" t="n"/>
      <c r="B292" s="47" t="n"/>
      <c r="C292" s="47" t="n"/>
      <c r="D292" s="48" t="n"/>
      <c r="E292" s="47" t="n"/>
    </row>
    <row r="293">
      <c r="A293" s="43" t="n"/>
      <c r="B293" s="44" t="n"/>
      <c r="C293" s="44" t="n"/>
      <c r="D293" s="45" t="n"/>
      <c r="E293" s="44" t="n"/>
    </row>
    <row r="294">
      <c r="A294" s="46" t="n"/>
      <c r="B294" s="47" t="n"/>
      <c r="C294" s="47" t="n"/>
      <c r="D294" s="48" t="n"/>
      <c r="E294" s="47" t="n"/>
    </row>
    <row r="295">
      <c r="A295" s="43" t="n"/>
      <c r="B295" s="44" t="n"/>
      <c r="C295" s="44" t="n"/>
      <c r="D295" s="45" t="n"/>
      <c r="E295" s="44" t="n"/>
    </row>
    <row r="296">
      <c r="A296" s="46" t="n"/>
      <c r="B296" s="47" t="n"/>
      <c r="C296" s="47" t="n"/>
      <c r="D296" s="48" t="n"/>
      <c r="E296" s="47" t="n"/>
    </row>
    <row r="297">
      <c r="A297" s="43" t="n"/>
      <c r="B297" s="44" t="n"/>
      <c r="C297" s="44" t="n"/>
      <c r="D297" s="45" t="n"/>
      <c r="E297" s="44" t="n"/>
    </row>
    <row r="298">
      <c r="A298" s="46" t="n"/>
      <c r="B298" s="47" t="n"/>
      <c r="C298" s="47" t="n"/>
      <c r="D298" s="48" t="n"/>
      <c r="E298" s="47" t="n"/>
    </row>
    <row r="299">
      <c r="A299" s="43" t="n"/>
      <c r="B299" s="44" t="n"/>
      <c r="C299" s="44" t="n"/>
      <c r="D299" s="45" t="n"/>
      <c r="E299" s="44" t="n"/>
    </row>
    <row r="300">
      <c r="A300" s="46" t="n"/>
      <c r="B300" s="47" t="n"/>
      <c r="C300" s="47" t="n"/>
      <c r="D300" s="48" t="n"/>
      <c r="E300" s="47" t="n"/>
    </row>
    <row r="301">
      <c r="A301" s="43" t="n"/>
      <c r="B301" s="44" t="n"/>
      <c r="C301" s="44" t="n"/>
      <c r="D301" s="45" t="n"/>
      <c r="E301" s="44" t="n"/>
    </row>
    <row r="302">
      <c r="A302" s="46" t="n"/>
      <c r="B302" s="47" t="n"/>
      <c r="C302" s="47" t="n"/>
      <c r="D302" s="48" t="n"/>
      <c r="E302" s="47" t="n"/>
    </row>
    <row r="303">
      <c r="A303" s="43" t="n"/>
      <c r="B303" s="44" t="n"/>
      <c r="C303" s="44" t="n"/>
      <c r="D303" s="45" t="n"/>
      <c r="E303" s="44" t="n"/>
    </row>
    <row r="304">
      <c r="A304" s="46" t="n"/>
      <c r="B304" s="47" t="n"/>
      <c r="C304" s="47" t="n"/>
      <c r="D304" s="48" t="n"/>
      <c r="E304" s="47" t="n"/>
    </row>
    <row r="305">
      <c r="A305" s="43" t="n"/>
      <c r="B305" s="44" t="n"/>
      <c r="C305" s="44" t="n"/>
      <c r="D305" s="45" t="n"/>
      <c r="E305" s="44" t="n"/>
    </row>
    <row r="306">
      <c r="A306" s="46" t="n"/>
      <c r="B306" s="47" t="n"/>
      <c r="C306" s="47" t="n"/>
      <c r="D306" s="48" t="n"/>
      <c r="E306" s="47" t="n"/>
    </row>
    <row r="307">
      <c r="A307" s="43" t="n"/>
      <c r="B307" s="44" t="n"/>
      <c r="C307" s="44" t="n"/>
      <c r="D307" s="45" t="n"/>
      <c r="E307" s="44" t="n"/>
    </row>
    <row r="308">
      <c r="A308" s="46" t="n"/>
      <c r="B308" s="47" t="n"/>
      <c r="C308" s="47" t="n"/>
      <c r="D308" s="48" t="n"/>
      <c r="E308" s="47" t="n"/>
    </row>
    <row r="309">
      <c r="A309" s="43" t="n"/>
      <c r="B309" s="44" t="n"/>
      <c r="C309" s="44" t="n"/>
      <c r="D309" s="45" t="n"/>
      <c r="E309" s="44" t="n"/>
    </row>
    <row r="310">
      <c r="A310" s="46" t="n"/>
      <c r="B310" s="47" t="n"/>
      <c r="C310" s="47" t="n"/>
      <c r="D310" s="48" t="n"/>
      <c r="E310" s="47" t="n"/>
    </row>
    <row r="311">
      <c r="A311" s="43" t="n"/>
      <c r="B311" s="44" t="n"/>
      <c r="C311" s="44" t="n"/>
      <c r="D311" s="45" t="n"/>
      <c r="E311" s="44" t="n"/>
    </row>
    <row r="312">
      <c r="A312" s="46" t="n"/>
      <c r="B312" s="47" t="n"/>
      <c r="C312" s="47" t="n"/>
      <c r="D312" s="48" t="n"/>
      <c r="E312" s="47" t="n"/>
    </row>
    <row r="313">
      <c r="A313" s="43" t="n"/>
      <c r="B313" s="44" t="n"/>
      <c r="C313" s="44" t="n"/>
      <c r="D313" s="45" t="n"/>
      <c r="E313" s="44" t="n"/>
    </row>
    <row r="314">
      <c r="A314" s="46" t="n"/>
      <c r="B314" s="47" t="n"/>
      <c r="C314" s="47" t="n"/>
      <c r="D314" s="48" t="n"/>
      <c r="E314" s="47" t="n"/>
    </row>
    <row r="315">
      <c r="A315" s="43" t="n"/>
      <c r="B315" s="44" t="n"/>
      <c r="C315" s="44" t="n"/>
      <c r="D315" s="45" t="n"/>
      <c r="E315" s="44" t="n"/>
    </row>
    <row r="316">
      <c r="A316" s="46" t="n"/>
      <c r="B316" s="47" t="n"/>
      <c r="C316" s="47" t="n"/>
      <c r="D316" s="48" t="n"/>
      <c r="E316" s="47" t="n"/>
    </row>
    <row r="317">
      <c r="A317" s="43" t="n"/>
      <c r="B317" s="44" t="n"/>
      <c r="C317" s="44" t="n"/>
      <c r="D317" s="45" t="n"/>
      <c r="E317" s="44" t="n"/>
    </row>
    <row r="318">
      <c r="A318" s="46" t="n"/>
      <c r="B318" s="47" t="n"/>
      <c r="C318" s="47" t="n"/>
      <c r="D318" s="48" t="n"/>
      <c r="E318" s="47" t="n"/>
    </row>
    <row r="319">
      <c r="A319" s="43" t="n"/>
      <c r="B319" s="44" t="n"/>
      <c r="C319" s="44" t="n"/>
      <c r="D319" s="45" t="n"/>
      <c r="E319" s="44" t="n"/>
    </row>
    <row r="320">
      <c r="A320" s="46" t="n"/>
      <c r="B320" s="47" t="n"/>
      <c r="C320" s="47" t="n"/>
      <c r="D320" s="48" t="n"/>
      <c r="E320" s="47" t="n"/>
    </row>
    <row r="321">
      <c r="A321" s="43" t="n"/>
      <c r="B321" s="44" t="n"/>
      <c r="C321" s="44" t="n"/>
      <c r="D321" s="45" t="n"/>
      <c r="E321" s="44" t="n"/>
    </row>
    <row r="322">
      <c r="A322" s="46" t="n"/>
      <c r="B322" s="47" t="n"/>
      <c r="C322" s="47" t="n"/>
      <c r="D322" s="48" t="n"/>
      <c r="E322" s="47" t="n"/>
    </row>
    <row r="323">
      <c r="A323" s="43" t="n"/>
      <c r="B323" s="44" t="n"/>
      <c r="C323" s="44" t="n"/>
      <c r="D323" s="45" t="n"/>
      <c r="E323" s="44" t="n"/>
    </row>
    <row r="324">
      <c r="A324" s="46" t="n"/>
      <c r="B324" s="47" t="n"/>
      <c r="C324" s="47" t="n"/>
      <c r="D324" s="48" t="n"/>
      <c r="E324" s="47" t="n"/>
    </row>
    <row r="325">
      <c r="A325" s="43" t="n"/>
      <c r="B325" s="44" t="n"/>
      <c r="C325" s="44" t="n"/>
      <c r="D325" s="45" t="n"/>
      <c r="E325" s="44" t="n"/>
    </row>
    <row r="326">
      <c r="A326" s="46" t="n"/>
      <c r="B326" s="47" t="n"/>
      <c r="C326" s="47" t="n"/>
      <c r="D326" s="48" t="n"/>
      <c r="E326" s="47" t="n"/>
    </row>
    <row r="327">
      <c r="A327" s="43" t="n"/>
      <c r="B327" s="44" t="n"/>
      <c r="C327" s="44" t="n"/>
      <c r="D327" s="45" t="n"/>
      <c r="E327" s="44" t="n"/>
    </row>
    <row r="328">
      <c r="A328" s="46" t="n"/>
      <c r="B328" s="47" t="n"/>
      <c r="C328" s="47" t="n"/>
      <c r="D328" s="48" t="n"/>
      <c r="E328" s="47" t="n"/>
    </row>
    <row r="329">
      <c r="A329" s="43" t="n"/>
      <c r="B329" s="44" t="n"/>
      <c r="C329" s="44" t="n"/>
      <c r="D329" s="45" t="n"/>
      <c r="E329" s="44" t="n"/>
    </row>
    <row r="330">
      <c r="A330" s="46" t="n"/>
      <c r="B330" s="47" t="n"/>
      <c r="C330" s="47" t="n"/>
      <c r="D330" s="48" t="n"/>
      <c r="E330" s="47" t="n"/>
    </row>
    <row r="331">
      <c r="A331" s="43" t="n"/>
      <c r="B331" s="44" t="n"/>
      <c r="C331" s="44" t="n"/>
      <c r="D331" s="45" t="n"/>
      <c r="E331" s="44" t="n"/>
    </row>
    <row r="332">
      <c r="A332" s="46" t="n"/>
      <c r="B332" s="47" t="n"/>
      <c r="C332" s="47" t="n"/>
      <c r="D332" s="48" t="n"/>
      <c r="E332" s="47" t="n"/>
    </row>
    <row r="333">
      <c r="A333" s="43" t="n"/>
      <c r="B333" s="44" t="n"/>
      <c r="C333" s="44" t="n"/>
      <c r="D333" s="45" t="n"/>
      <c r="E333" s="44" t="n"/>
    </row>
    <row r="334">
      <c r="A334" s="46" t="n"/>
      <c r="B334" s="47" t="n"/>
      <c r="C334" s="47" t="n"/>
      <c r="D334" s="48" t="n"/>
      <c r="E334" s="47" t="n"/>
    </row>
    <row r="335">
      <c r="A335" s="43" t="n"/>
      <c r="B335" s="44" t="n"/>
      <c r="C335" s="44" t="n"/>
      <c r="D335" s="45" t="n"/>
      <c r="E335" s="44" t="n"/>
    </row>
    <row r="336">
      <c r="A336" s="46" t="n"/>
      <c r="B336" s="47" t="n"/>
      <c r="C336" s="47" t="n"/>
      <c r="D336" s="48" t="n"/>
      <c r="E336" s="47" t="n"/>
    </row>
    <row r="337">
      <c r="A337" s="43" t="n"/>
      <c r="B337" s="44" t="n"/>
      <c r="C337" s="44" t="n"/>
      <c r="D337" s="45" t="n"/>
      <c r="E337" s="44" t="n"/>
    </row>
    <row r="338">
      <c r="A338" s="46" t="n"/>
      <c r="B338" s="47" t="n"/>
      <c r="C338" s="47" t="n"/>
      <c r="D338" s="48" t="n"/>
      <c r="E338" s="47" t="n"/>
    </row>
    <row r="339">
      <c r="A339" s="43" t="n"/>
      <c r="B339" s="44" t="n"/>
      <c r="C339" s="44" t="n"/>
      <c r="D339" s="45" t="n"/>
      <c r="E339" s="44" t="n"/>
    </row>
    <row r="340">
      <c r="A340" s="46" t="n"/>
      <c r="B340" s="47" t="n"/>
      <c r="C340" s="47" t="n"/>
      <c r="D340" s="48" t="n"/>
      <c r="E340" s="47" t="n"/>
    </row>
    <row r="341">
      <c r="A341" s="43" t="n"/>
      <c r="B341" s="44" t="n"/>
      <c r="C341" s="44" t="n"/>
      <c r="D341" s="45" t="n"/>
      <c r="E341" s="44" t="n"/>
    </row>
    <row r="342">
      <c r="A342" s="46" t="n"/>
      <c r="B342" s="47" t="n"/>
      <c r="C342" s="47" t="n"/>
      <c r="D342" s="48" t="n"/>
      <c r="E342" s="47" t="n"/>
    </row>
    <row r="343">
      <c r="A343" s="43" t="n"/>
      <c r="B343" s="44" t="n"/>
      <c r="C343" s="44" t="n"/>
      <c r="D343" s="45" t="n"/>
      <c r="E343" s="44" t="n"/>
    </row>
    <row r="344">
      <c r="A344" s="46" t="n"/>
      <c r="B344" s="47" t="n"/>
      <c r="C344" s="47" t="n"/>
      <c r="D344" s="48" t="n"/>
      <c r="E344" s="47" t="n"/>
    </row>
    <row r="345">
      <c r="A345" s="43" t="n"/>
      <c r="B345" s="44" t="n"/>
      <c r="C345" s="44" t="n"/>
      <c r="D345" s="45" t="n"/>
      <c r="E345" s="44" t="n"/>
    </row>
    <row r="346">
      <c r="A346" s="46" t="n"/>
      <c r="B346" s="47" t="n"/>
      <c r="C346" s="47" t="n"/>
      <c r="D346" s="48" t="n"/>
      <c r="E346" s="47" t="n"/>
    </row>
    <row r="347">
      <c r="A347" s="43" t="n"/>
      <c r="B347" s="44" t="n"/>
      <c r="C347" s="44" t="n"/>
      <c r="D347" s="45" t="n"/>
      <c r="E347" s="44" t="n"/>
    </row>
    <row r="348">
      <c r="A348" s="46" t="n"/>
      <c r="B348" s="47" t="n"/>
      <c r="C348" s="47" t="n"/>
      <c r="D348" s="48" t="n"/>
      <c r="E348" s="47" t="n"/>
    </row>
    <row r="349">
      <c r="A349" s="43" t="n"/>
      <c r="B349" s="44" t="n"/>
      <c r="C349" s="44" t="n"/>
      <c r="D349" s="45" t="n"/>
      <c r="E349" s="44" t="n"/>
    </row>
    <row r="350">
      <c r="A350" s="46" t="n"/>
      <c r="B350" s="47" t="n"/>
      <c r="C350" s="47" t="n"/>
      <c r="D350" s="48" t="n"/>
      <c r="E350" s="47" t="n"/>
    </row>
    <row r="351">
      <c r="A351" s="43" t="n"/>
      <c r="B351" s="44" t="n"/>
      <c r="C351" s="44" t="n"/>
      <c r="D351" s="45" t="n"/>
      <c r="E351" s="44" t="n"/>
    </row>
    <row r="352">
      <c r="A352" s="46" t="n"/>
      <c r="B352" s="47" t="n"/>
      <c r="C352" s="47" t="n"/>
      <c r="D352" s="48" t="n"/>
      <c r="E352" s="47" t="n"/>
    </row>
    <row r="353">
      <c r="A353" s="43" t="n"/>
      <c r="B353" s="44" t="n"/>
      <c r="C353" s="44" t="n"/>
      <c r="D353" s="45" t="n"/>
      <c r="E353" s="44" t="n"/>
    </row>
    <row r="354">
      <c r="A354" s="46" t="n"/>
      <c r="B354" s="47" t="n"/>
      <c r="C354" s="47" t="n"/>
      <c r="D354" s="48" t="n"/>
      <c r="E354" s="47" t="n"/>
    </row>
    <row r="355">
      <c r="A355" s="43" t="n"/>
      <c r="B355" s="44" t="n"/>
      <c r="C355" s="44" t="n"/>
      <c r="D355" s="45" t="n"/>
      <c r="E355" s="44" t="n"/>
    </row>
    <row r="356">
      <c r="A356" s="46" t="n"/>
      <c r="B356" s="47" t="n"/>
      <c r="C356" s="47" t="n"/>
      <c r="D356" s="48" t="n"/>
      <c r="E356" s="47" t="n"/>
    </row>
    <row r="357">
      <c r="A357" s="43" t="n"/>
      <c r="B357" s="44" t="n"/>
      <c r="C357" s="44" t="n"/>
      <c r="D357" s="45" t="n"/>
      <c r="E357" s="44" t="n"/>
    </row>
    <row r="358">
      <c r="A358" s="46" t="n"/>
      <c r="B358" s="47" t="n"/>
      <c r="C358" s="47" t="n"/>
      <c r="D358" s="48" t="n"/>
      <c r="E358" s="47" t="n"/>
    </row>
    <row r="359">
      <c r="A359" s="43" t="n"/>
      <c r="B359" s="44" t="n"/>
      <c r="C359" s="44" t="n"/>
      <c r="D359" s="45" t="n"/>
      <c r="E359" s="44" t="n"/>
    </row>
    <row r="360">
      <c r="A360" s="46" t="n"/>
      <c r="B360" s="47" t="n"/>
      <c r="C360" s="47" t="n"/>
      <c r="D360" s="48" t="n"/>
      <c r="E360" s="47" t="n"/>
    </row>
    <row r="361">
      <c r="A361" s="43" t="n"/>
      <c r="B361" s="44" t="n"/>
      <c r="C361" s="44" t="n"/>
      <c r="D361" s="45" t="n"/>
      <c r="E361" s="44" t="n"/>
    </row>
    <row r="362">
      <c r="A362" s="46" t="n"/>
      <c r="B362" s="47" t="n"/>
      <c r="C362" s="47" t="n"/>
      <c r="D362" s="48" t="n"/>
      <c r="E362" s="47" t="n"/>
    </row>
    <row r="363">
      <c r="A363" s="43" t="n"/>
      <c r="B363" s="44" t="n"/>
      <c r="C363" s="44" t="n"/>
      <c r="D363" s="45" t="n"/>
      <c r="E363" s="44" t="n"/>
    </row>
    <row r="364">
      <c r="A364" s="46" t="n"/>
      <c r="B364" s="47" t="n"/>
      <c r="C364" s="47" t="n"/>
      <c r="D364" s="48" t="n"/>
      <c r="E364" s="47" t="n"/>
    </row>
    <row r="365">
      <c r="A365" s="43" t="n"/>
      <c r="B365" s="44" t="n"/>
      <c r="C365" s="44" t="n"/>
      <c r="D365" s="45" t="n"/>
      <c r="E365" s="44" t="n"/>
    </row>
    <row r="366">
      <c r="A366" s="46" t="n"/>
      <c r="B366" s="47" t="n"/>
      <c r="C366" s="47" t="n"/>
      <c r="D366" s="48" t="n"/>
      <c r="E366" s="47" t="n"/>
    </row>
    <row r="367">
      <c r="A367" s="43" t="n"/>
      <c r="B367" s="44" t="n"/>
      <c r="C367" s="44" t="n"/>
      <c r="D367" s="45" t="n"/>
      <c r="E367" s="44" t="n"/>
    </row>
    <row r="368">
      <c r="A368" s="46" t="n"/>
      <c r="B368" s="47" t="n"/>
      <c r="C368" s="47" t="n"/>
      <c r="D368" s="48" t="n"/>
      <c r="E368" s="47" t="n"/>
    </row>
    <row r="369">
      <c r="A369" s="43" t="n"/>
      <c r="B369" s="44" t="n"/>
      <c r="C369" s="44" t="n"/>
      <c r="D369" s="45" t="n"/>
      <c r="E369" s="44" t="n"/>
    </row>
    <row r="370">
      <c r="A370" s="46" t="n"/>
      <c r="B370" s="47" t="n"/>
      <c r="C370" s="47" t="n"/>
      <c r="D370" s="48" t="n"/>
      <c r="E370" s="47" t="n"/>
    </row>
    <row r="371">
      <c r="A371" s="43" t="n"/>
      <c r="B371" s="44" t="n"/>
      <c r="C371" s="44" t="n"/>
      <c r="D371" s="45" t="n"/>
      <c r="E371" s="44" t="n"/>
    </row>
    <row r="372">
      <c r="A372" s="46" t="n"/>
      <c r="B372" s="47" t="n"/>
      <c r="C372" s="47" t="n"/>
      <c r="D372" s="48" t="n"/>
      <c r="E372" s="47" t="n"/>
    </row>
    <row r="373">
      <c r="A373" s="43" t="n"/>
      <c r="B373" s="44" t="n"/>
      <c r="C373" s="44" t="n"/>
      <c r="D373" s="45" t="n"/>
      <c r="E373" s="44" t="n"/>
    </row>
    <row r="374">
      <c r="A374" s="46" t="n"/>
      <c r="B374" s="47" t="n"/>
      <c r="C374" s="47" t="n"/>
      <c r="D374" s="48" t="n"/>
      <c r="E374" s="47" t="n"/>
    </row>
    <row r="375">
      <c r="A375" s="43" t="n"/>
      <c r="B375" s="44" t="n"/>
      <c r="C375" s="44" t="n"/>
      <c r="D375" s="45" t="n"/>
      <c r="E375" s="44" t="n"/>
    </row>
    <row r="376">
      <c r="A376" s="46" t="n"/>
      <c r="B376" s="47" t="n"/>
      <c r="C376" s="47" t="n"/>
      <c r="D376" s="48" t="n"/>
      <c r="E376" s="47" t="n"/>
    </row>
    <row r="377">
      <c r="A377" s="43" t="n"/>
      <c r="B377" s="44" t="n"/>
      <c r="C377" s="44" t="n"/>
      <c r="D377" s="45" t="n"/>
      <c r="E377" s="44" t="n"/>
    </row>
    <row r="378">
      <c r="A378" s="46" t="n"/>
      <c r="B378" s="47" t="n"/>
      <c r="C378" s="47" t="n"/>
      <c r="D378" s="48" t="n"/>
      <c r="E378" s="47" t="n"/>
    </row>
    <row r="379">
      <c r="A379" s="43" t="n"/>
      <c r="B379" s="44" t="n"/>
      <c r="C379" s="44" t="n"/>
      <c r="D379" s="45" t="n"/>
      <c r="E379" s="44" t="n"/>
    </row>
    <row r="380">
      <c r="A380" s="46" t="n"/>
      <c r="B380" s="47" t="n"/>
      <c r="C380" s="47" t="n"/>
      <c r="D380" s="48" t="n"/>
      <c r="E380" s="47" t="n"/>
    </row>
    <row r="381">
      <c r="A381" s="43" t="n"/>
      <c r="B381" s="44" t="n"/>
      <c r="C381" s="44" t="n"/>
      <c r="D381" s="45" t="n"/>
      <c r="E381" s="44" t="n"/>
    </row>
    <row r="382">
      <c r="A382" s="46" t="n"/>
      <c r="B382" s="47" t="n"/>
      <c r="C382" s="47" t="n"/>
      <c r="D382" s="48" t="n"/>
      <c r="E382" s="47" t="n"/>
    </row>
    <row r="383">
      <c r="A383" s="43" t="n"/>
      <c r="B383" s="44" t="n"/>
      <c r="C383" s="44" t="n"/>
      <c r="D383" s="45" t="n"/>
      <c r="E383" s="44" t="n"/>
    </row>
    <row r="384">
      <c r="A384" s="46" t="n"/>
      <c r="B384" s="47" t="n"/>
      <c r="C384" s="47" t="n"/>
      <c r="D384" s="48" t="n"/>
      <c r="E384" s="47" t="n"/>
    </row>
    <row r="385">
      <c r="A385" s="43" t="n"/>
      <c r="B385" s="44" t="n"/>
      <c r="C385" s="44" t="n"/>
      <c r="D385" s="45" t="n"/>
      <c r="E385" s="44" t="n"/>
    </row>
    <row r="386">
      <c r="A386" s="46" t="n"/>
      <c r="B386" s="47" t="n"/>
      <c r="C386" s="47" t="n"/>
      <c r="D386" s="48" t="n"/>
      <c r="E386" s="47" t="n"/>
    </row>
    <row r="387">
      <c r="A387" s="43" t="n"/>
      <c r="B387" s="44" t="n"/>
      <c r="C387" s="44" t="n"/>
      <c r="D387" s="45" t="n"/>
      <c r="E387" s="44" t="n"/>
    </row>
    <row r="388">
      <c r="A388" s="46" t="n"/>
      <c r="B388" s="47" t="n"/>
      <c r="C388" s="47" t="n"/>
      <c r="D388" s="48" t="n"/>
      <c r="E388" s="47" t="n"/>
    </row>
    <row r="389">
      <c r="A389" s="43" t="n"/>
      <c r="B389" s="44" t="n"/>
      <c r="C389" s="44" t="n"/>
      <c r="D389" s="45" t="n"/>
      <c r="E389" s="44" t="n"/>
    </row>
    <row r="390">
      <c r="A390" s="46" t="n"/>
      <c r="B390" s="47" t="n"/>
      <c r="C390" s="47" t="n"/>
      <c r="D390" s="48" t="n"/>
      <c r="E390" s="47" t="n"/>
    </row>
    <row r="391">
      <c r="A391" s="43" t="n"/>
      <c r="B391" s="44" t="n"/>
      <c r="C391" s="44" t="n"/>
      <c r="D391" s="45" t="n"/>
      <c r="E391" s="44" t="n"/>
    </row>
    <row r="392">
      <c r="A392" s="46" t="n"/>
      <c r="B392" s="47" t="n"/>
      <c r="C392" s="47" t="n"/>
      <c r="D392" s="48" t="n"/>
      <c r="E392" s="47" t="n"/>
    </row>
    <row r="393">
      <c r="A393" s="43" t="n"/>
      <c r="B393" s="44" t="n"/>
      <c r="C393" s="44" t="n"/>
      <c r="D393" s="45" t="n"/>
      <c r="E393" s="44" t="n"/>
    </row>
    <row r="394">
      <c r="A394" s="46" t="n"/>
      <c r="B394" s="47" t="n"/>
      <c r="C394" s="47" t="n"/>
      <c r="D394" s="48" t="n"/>
      <c r="E394" s="47" t="n"/>
    </row>
    <row r="395">
      <c r="A395" s="43" t="n"/>
      <c r="B395" s="44" t="n"/>
      <c r="C395" s="44" t="n"/>
      <c r="D395" s="45" t="n"/>
      <c r="E395" s="44" t="n"/>
    </row>
    <row r="396">
      <c r="A396" s="46" t="n"/>
      <c r="B396" s="47" t="n"/>
      <c r="C396" s="47" t="n"/>
      <c r="D396" s="48" t="n"/>
      <c r="E396" s="47" t="n"/>
    </row>
    <row r="397">
      <c r="A397" s="43" t="n"/>
      <c r="B397" s="44" t="n"/>
      <c r="C397" s="44" t="n"/>
      <c r="D397" s="45" t="n"/>
      <c r="E397" s="44" t="n"/>
    </row>
    <row r="398">
      <c r="A398" s="46" t="n"/>
      <c r="B398" s="47" t="n"/>
      <c r="C398" s="47" t="n"/>
      <c r="D398" s="48" t="n"/>
      <c r="E398" s="47" t="n"/>
    </row>
    <row r="399">
      <c r="A399" s="43" t="n"/>
      <c r="B399" s="44" t="n"/>
      <c r="C399" s="44" t="n"/>
      <c r="D399" s="45" t="n"/>
      <c r="E399" s="44" t="n"/>
    </row>
    <row r="400">
      <c r="A400" s="46" t="n"/>
      <c r="B400" s="47" t="n"/>
      <c r="C400" s="47" t="n"/>
      <c r="D400" s="48" t="n"/>
      <c r="E400" s="47" t="n"/>
    </row>
    <row r="401">
      <c r="A401" s="43" t="n"/>
      <c r="B401" s="44" t="n"/>
      <c r="C401" s="44" t="n"/>
      <c r="D401" s="45" t="n"/>
      <c r="E401" s="44" t="n"/>
    </row>
    <row r="402">
      <c r="A402" s="46" t="n"/>
      <c r="B402" s="47" t="n"/>
      <c r="C402" s="47" t="n"/>
      <c r="D402" s="48" t="n"/>
      <c r="E402" s="47" t="n"/>
    </row>
    <row r="403">
      <c r="A403" s="43" t="n"/>
      <c r="B403" s="44" t="n"/>
      <c r="C403" s="44" t="n"/>
      <c r="D403" s="45" t="n"/>
      <c r="E403" s="44" t="n"/>
    </row>
    <row r="404">
      <c r="A404" s="46" t="n"/>
      <c r="B404" s="47" t="n"/>
      <c r="C404" s="47" t="n"/>
      <c r="D404" s="48" t="n"/>
      <c r="E404" s="47" t="n"/>
    </row>
    <row r="405">
      <c r="A405" s="43" t="n"/>
      <c r="B405" s="44" t="n"/>
      <c r="C405" s="44" t="n"/>
      <c r="D405" s="45" t="n"/>
      <c r="E405" s="44" t="n"/>
    </row>
    <row r="406">
      <c r="A406" s="46" t="n"/>
      <c r="B406" s="47" t="n"/>
      <c r="C406" s="47" t="n"/>
      <c r="D406" s="48" t="n"/>
      <c r="E406" s="47" t="n"/>
    </row>
    <row r="407">
      <c r="A407" s="43" t="n"/>
      <c r="B407" s="44" t="n"/>
      <c r="C407" s="44" t="n"/>
      <c r="D407" s="45" t="n"/>
      <c r="E407" s="44" t="n"/>
    </row>
    <row r="408">
      <c r="A408" s="46" t="n"/>
      <c r="B408" s="47" t="n"/>
      <c r="C408" s="47" t="n"/>
      <c r="D408" s="48" t="n"/>
      <c r="E408" s="47" t="n"/>
    </row>
    <row r="409">
      <c r="A409" s="43" t="n"/>
      <c r="B409" s="44" t="n"/>
      <c r="C409" s="44" t="n"/>
      <c r="D409" s="45" t="n"/>
      <c r="E409" s="44" t="n"/>
    </row>
    <row r="410">
      <c r="A410" s="46" t="n"/>
      <c r="B410" s="47" t="n"/>
      <c r="C410" s="47" t="n"/>
      <c r="D410" s="48" t="n"/>
      <c r="E410" s="47" t="n"/>
    </row>
    <row r="411">
      <c r="A411" s="43" t="n"/>
      <c r="B411" s="44" t="n"/>
      <c r="C411" s="44" t="n"/>
      <c r="D411" s="45" t="n"/>
      <c r="E411" s="44" t="n"/>
    </row>
    <row r="412">
      <c r="A412" s="46" t="n"/>
      <c r="B412" s="47" t="n"/>
      <c r="C412" s="47" t="n"/>
      <c r="D412" s="48" t="n"/>
      <c r="E412" s="47" t="n"/>
    </row>
    <row r="413">
      <c r="A413" s="43" t="n"/>
      <c r="B413" s="44" t="n"/>
      <c r="C413" s="44" t="n"/>
      <c r="D413" s="45" t="n"/>
      <c r="E413" s="44" t="n"/>
    </row>
    <row r="414">
      <c r="A414" s="46" t="n"/>
      <c r="B414" s="47" t="n"/>
      <c r="C414" s="47" t="n"/>
      <c r="D414" s="48" t="n"/>
      <c r="E414" s="47" t="n"/>
    </row>
    <row r="415">
      <c r="A415" s="43" t="n"/>
      <c r="B415" s="44" t="n"/>
      <c r="C415" s="44" t="n"/>
      <c r="D415" s="45" t="n"/>
      <c r="E415" s="44" t="n"/>
    </row>
    <row r="416">
      <c r="A416" s="46" t="n"/>
      <c r="B416" s="47" t="n"/>
      <c r="C416" s="47" t="n"/>
      <c r="D416" s="48" t="n"/>
      <c r="E416" s="47" t="n"/>
    </row>
    <row r="417">
      <c r="A417" s="43" t="n"/>
      <c r="B417" s="44" t="n"/>
      <c r="C417" s="44" t="n"/>
      <c r="D417" s="45" t="n"/>
      <c r="E417" s="44" t="n"/>
    </row>
    <row r="418">
      <c r="A418" s="46" t="n"/>
      <c r="B418" s="47" t="n"/>
      <c r="C418" s="47" t="n"/>
      <c r="D418" s="48" t="n"/>
      <c r="E418" s="47" t="n"/>
    </row>
    <row r="419">
      <c r="A419" s="43" t="n"/>
      <c r="B419" s="44" t="n"/>
      <c r="C419" s="44" t="n"/>
      <c r="D419" s="45" t="n"/>
      <c r="E419" s="44" t="n"/>
    </row>
    <row r="420">
      <c r="A420" s="46" t="n"/>
      <c r="B420" s="47" t="n"/>
      <c r="C420" s="47" t="n"/>
      <c r="D420" s="48" t="n"/>
      <c r="E420" s="47" t="n"/>
    </row>
    <row r="421">
      <c r="A421" s="43" t="n"/>
      <c r="B421" s="44" t="n"/>
      <c r="C421" s="44" t="n"/>
      <c r="D421" s="45" t="n"/>
      <c r="E421" s="44" t="n"/>
    </row>
    <row r="422">
      <c r="A422" s="46" t="n"/>
      <c r="B422" s="47" t="n"/>
      <c r="C422" s="47" t="n"/>
      <c r="D422" s="48" t="n"/>
      <c r="E422" s="47" t="n"/>
    </row>
    <row r="423">
      <c r="A423" s="43" t="n"/>
      <c r="B423" s="44" t="n"/>
      <c r="C423" s="44" t="n"/>
      <c r="D423" s="45" t="n"/>
      <c r="E423" s="44" t="n"/>
    </row>
    <row r="424">
      <c r="A424" s="46" t="n"/>
      <c r="B424" s="47" t="n"/>
      <c r="C424" s="47" t="n"/>
      <c r="D424" s="48" t="n"/>
      <c r="E424" s="47" t="n"/>
    </row>
    <row r="425">
      <c r="A425" s="43" t="n"/>
      <c r="B425" s="44" t="n"/>
      <c r="C425" s="44" t="n"/>
      <c r="D425" s="45" t="n"/>
      <c r="E425" s="44" t="n"/>
    </row>
    <row r="426">
      <c r="A426" s="46" t="n"/>
      <c r="B426" s="47" t="n"/>
      <c r="C426" s="47" t="n"/>
      <c r="D426" s="48" t="n"/>
      <c r="E426" s="47" t="n"/>
    </row>
    <row r="427">
      <c r="A427" s="43" t="n"/>
      <c r="B427" s="44" t="n"/>
      <c r="C427" s="44" t="n"/>
      <c r="D427" s="45" t="n"/>
      <c r="E427" s="44" t="n"/>
    </row>
    <row r="428">
      <c r="A428" s="46" t="n"/>
      <c r="B428" s="47" t="n"/>
      <c r="C428" s="47" t="n"/>
      <c r="D428" s="48" t="n"/>
      <c r="E428" s="47" t="n"/>
    </row>
    <row r="429">
      <c r="A429" s="43" t="n"/>
      <c r="B429" s="44" t="n"/>
      <c r="C429" s="44" t="n"/>
      <c r="D429" s="45" t="n"/>
      <c r="E429" s="44" t="n"/>
    </row>
    <row r="430">
      <c r="A430" s="46" t="n"/>
      <c r="B430" s="47" t="n"/>
      <c r="C430" s="47" t="n"/>
      <c r="D430" s="48" t="n"/>
      <c r="E430" s="47" t="n"/>
    </row>
    <row r="431">
      <c r="A431" s="43" t="n"/>
      <c r="B431" s="44" t="n"/>
      <c r="C431" s="44" t="n"/>
      <c r="D431" s="45" t="n"/>
      <c r="E431" s="44" t="n"/>
    </row>
    <row r="432">
      <c r="A432" s="46" t="n"/>
      <c r="B432" s="47" t="n"/>
      <c r="C432" s="47" t="n"/>
      <c r="D432" s="48" t="n"/>
      <c r="E432" s="47" t="n"/>
    </row>
    <row r="433">
      <c r="A433" s="43" t="n"/>
      <c r="B433" s="44" t="n"/>
      <c r="C433" s="44" t="n"/>
      <c r="D433" s="45" t="n"/>
      <c r="E433" s="44" t="n"/>
    </row>
    <row r="434">
      <c r="A434" s="46" t="n"/>
      <c r="B434" s="47" t="n"/>
      <c r="C434" s="47" t="n"/>
      <c r="D434" s="48" t="n"/>
      <c r="E434" s="47" t="n"/>
    </row>
    <row r="435">
      <c r="A435" s="43" t="n"/>
      <c r="B435" s="44" t="n"/>
      <c r="C435" s="44" t="n"/>
      <c r="D435" s="45" t="n"/>
      <c r="E435" s="44" t="n"/>
    </row>
    <row r="436">
      <c r="A436" s="46" t="n"/>
      <c r="B436" s="47" t="n"/>
      <c r="C436" s="47" t="n"/>
      <c r="D436" s="48" t="n"/>
      <c r="E436" s="47" t="n"/>
    </row>
    <row r="437">
      <c r="A437" s="43" t="n"/>
      <c r="B437" s="44" t="n"/>
      <c r="C437" s="44" t="n"/>
      <c r="D437" s="45" t="n"/>
      <c r="E437" s="44" t="n"/>
    </row>
    <row r="438">
      <c r="A438" s="46" t="n"/>
      <c r="B438" s="47" t="n"/>
      <c r="C438" s="47" t="n"/>
      <c r="D438" s="48" t="n"/>
      <c r="E438" s="47" t="n"/>
    </row>
    <row r="439">
      <c r="A439" s="43" t="n"/>
      <c r="B439" s="44" t="n"/>
      <c r="C439" s="44" t="n"/>
      <c r="D439" s="45" t="n"/>
      <c r="E439" s="44" t="n"/>
    </row>
    <row r="440">
      <c r="A440" s="46" t="n"/>
      <c r="B440" s="47" t="n"/>
      <c r="C440" s="47" t="n"/>
      <c r="D440" s="48" t="n"/>
      <c r="E440" s="47" t="n"/>
    </row>
    <row r="441">
      <c r="A441" s="43" t="n"/>
      <c r="B441" s="44" t="n"/>
      <c r="C441" s="44" t="n"/>
      <c r="D441" s="45" t="n"/>
      <c r="E441" s="44" t="n"/>
    </row>
    <row r="442">
      <c r="A442" s="46" t="n"/>
      <c r="B442" s="47" t="n"/>
      <c r="C442" s="47" t="n"/>
      <c r="D442" s="48" t="n"/>
      <c r="E442" s="47" t="n"/>
    </row>
    <row r="443">
      <c r="A443" s="43" t="n"/>
      <c r="B443" s="44" t="n"/>
      <c r="C443" s="44" t="n"/>
      <c r="D443" s="45" t="n"/>
      <c r="E443" s="44" t="n"/>
    </row>
    <row r="444">
      <c r="A444" s="46" t="n"/>
      <c r="B444" s="47" t="n"/>
      <c r="C444" s="47" t="n"/>
      <c r="D444" s="48" t="n"/>
      <c r="E444" s="47" t="n"/>
    </row>
    <row r="445">
      <c r="A445" s="43" t="n"/>
      <c r="B445" s="44" t="n"/>
      <c r="C445" s="44" t="n"/>
      <c r="D445" s="45" t="n"/>
      <c r="E445" s="44" t="n"/>
    </row>
    <row r="446">
      <c r="A446" s="46" t="n"/>
      <c r="B446" s="47" t="n"/>
      <c r="C446" s="47" t="n"/>
      <c r="D446" s="48" t="n"/>
      <c r="E446" s="47" t="n"/>
    </row>
    <row r="447">
      <c r="A447" s="43" t="n"/>
      <c r="B447" s="44" t="n"/>
      <c r="C447" s="44" t="n"/>
      <c r="D447" s="45" t="n"/>
      <c r="E447" s="44" t="n"/>
    </row>
    <row r="448">
      <c r="A448" s="46" t="n"/>
      <c r="B448" s="47" t="n"/>
      <c r="C448" s="47" t="n"/>
      <c r="D448" s="48" t="n"/>
      <c r="E448" s="47" t="n"/>
    </row>
    <row r="449">
      <c r="A449" s="43" t="n"/>
      <c r="B449" s="44" t="n"/>
      <c r="C449" s="44" t="n"/>
      <c r="D449" s="45" t="n"/>
      <c r="E449" s="44" t="n"/>
    </row>
    <row r="450">
      <c r="A450" s="46" t="n"/>
      <c r="B450" s="47" t="n"/>
      <c r="C450" s="47" t="n"/>
      <c r="D450" s="48" t="n"/>
      <c r="E450" s="47" t="n"/>
    </row>
    <row r="451">
      <c r="A451" s="43" t="n"/>
      <c r="B451" s="44" t="n"/>
      <c r="C451" s="44" t="n"/>
      <c r="D451" s="45" t="n"/>
      <c r="E451" s="44" t="n"/>
    </row>
    <row r="452">
      <c r="A452" s="46" t="n"/>
      <c r="B452" s="47" t="n"/>
      <c r="C452" s="47" t="n"/>
      <c r="D452" s="48" t="n"/>
      <c r="E452" s="47" t="n"/>
    </row>
    <row r="453">
      <c r="A453" s="43" t="n"/>
      <c r="B453" s="44" t="n"/>
      <c r="C453" s="44" t="n"/>
      <c r="D453" s="45" t="n"/>
      <c r="E453" s="44" t="n"/>
    </row>
    <row r="454">
      <c r="A454" s="46" t="n"/>
      <c r="B454" s="47" t="n"/>
      <c r="C454" s="47" t="n"/>
      <c r="D454" s="48" t="n"/>
      <c r="E454" s="47" t="n"/>
    </row>
    <row r="455">
      <c r="A455" s="43" t="n"/>
      <c r="B455" s="44" t="n"/>
      <c r="C455" s="44" t="n"/>
      <c r="D455" s="45" t="n"/>
      <c r="E455" s="44" t="n"/>
    </row>
    <row r="456">
      <c r="A456" s="46" t="n"/>
      <c r="B456" s="47" t="n"/>
      <c r="C456" s="47" t="n"/>
      <c r="D456" s="48" t="n"/>
      <c r="E456" s="47" t="n"/>
    </row>
    <row r="457">
      <c r="A457" s="43" t="n"/>
      <c r="B457" s="44" t="n"/>
      <c r="C457" s="44" t="n"/>
      <c r="D457" s="45" t="n"/>
      <c r="E457" s="44" t="n"/>
    </row>
    <row r="458">
      <c r="A458" s="46" t="n"/>
      <c r="B458" s="47" t="n"/>
      <c r="C458" s="47" t="n"/>
      <c r="D458" s="48" t="n"/>
      <c r="E458" s="47" t="n"/>
    </row>
    <row r="459">
      <c r="A459" s="43" t="n"/>
      <c r="B459" s="44" t="n"/>
      <c r="C459" s="44" t="n"/>
      <c r="D459" s="45" t="n"/>
      <c r="E459" s="44" t="n"/>
    </row>
    <row r="460">
      <c r="A460" s="46" t="n"/>
      <c r="B460" s="47" t="n"/>
      <c r="C460" s="47" t="n"/>
      <c r="D460" s="48" t="n"/>
      <c r="E460" s="47" t="n"/>
    </row>
    <row r="461">
      <c r="A461" s="43" t="n"/>
      <c r="B461" s="44" t="n"/>
      <c r="C461" s="44" t="n"/>
      <c r="D461" s="45" t="n"/>
      <c r="E461" s="44" t="n"/>
    </row>
    <row r="462">
      <c r="A462" s="46" t="n"/>
      <c r="B462" s="47" t="n"/>
      <c r="C462" s="47" t="n"/>
      <c r="D462" s="48" t="n"/>
      <c r="E462" s="47" t="n"/>
    </row>
    <row r="463">
      <c r="A463" s="43" t="n"/>
      <c r="B463" s="44" t="n"/>
      <c r="C463" s="44" t="n"/>
      <c r="D463" s="45" t="n"/>
      <c r="E463" s="44" t="n"/>
    </row>
    <row r="464">
      <c r="A464" s="46" t="n"/>
      <c r="B464" s="47" t="n"/>
      <c r="C464" s="47" t="n"/>
      <c r="D464" s="48" t="n"/>
      <c r="E464" s="47" t="n"/>
    </row>
    <row r="465">
      <c r="A465" s="43" t="n"/>
      <c r="B465" s="44" t="n"/>
      <c r="C465" s="44" t="n"/>
      <c r="D465" s="45" t="n"/>
      <c r="E465" s="44" t="n"/>
    </row>
    <row r="466">
      <c r="A466" s="46" t="n"/>
      <c r="B466" s="47" t="n"/>
      <c r="C466" s="47" t="n"/>
      <c r="D466" s="48" t="n"/>
      <c r="E466" s="47" t="n"/>
    </row>
    <row r="467">
      <c r="A467" s="43" t="n"/>
      <c r="B467" s="44" t="n"/>
      <c r="C467" s="44" t="n"/>
      <c r="D467" s="45" t="n"/>
      <c r="E467" s="44" t="n"/>
    </row>
    <row r="468">
      <c r="A468" s="46" t="n"/>
      <c r="B468" s="47" t="n"/>
      <c r="C468" s="47" t="n"/>
      <c r="D468" s="48" t="n"/>
      <c r="E468" s="47" t="n"/>
    </row>
    <row r="469">
      <c r="A469" s="43" t="n"/>
      <c r="B469" s="44" t="n"/>
      <c r="C469" s="44" t="n"/>
      <c r="D469" s="45" t="n"/>
      <c r="E469" s="44" t="n"/>
    </row>
    <row r="470">
      <c r="A470" s="46" t="n"/>
      <c r="B470" s="47" t="n"/>
      <c r="C470" s="47" t="n"/>
      <c r="D470" s="48" t="n"/>
      <c r="E470" s="47" t="n"/>
    </row>
    <row r="471">
      <c r="A471" s="43" t="n"/>
      <c r="B471" s="44" t="n"/>
      <c r="C471" s="44" t="n"/>
      <c r="D471" s="45" t="n"/>
      <c r="E471" s="44" t="n"/>
    </row>
    <row r="472">
      <c r="A472" s="46" t="n"/>
      <c r="B472" s="47" t="n"/>
      <c r="C472" s="47" t="n"/>
      <c r="D472" s="48" t="n"/>
      <c r="E472" s="47" t="n"/>
    </row>
    <row r="473">
      <c r="A473" s="43" t="n"/>
      <c r="B473" s="44" t="n"/>
      <c r="C473" s="44" t="n"/>
      <c r="D473" s="45" t="n"/>
      <c r="E473" s="44" t="n"/>
    </row>
    <row r="474">
      <c r="A474" s="46" t="n"/>
      <c r="B474" s="47" t="n"/>
      <c r="C474" s="47" t="n"/>
      <c r="D474" s="48" t="n"/>
      <c r="E474" s="47" t="n"/>
    </row>
    <row r="475">
      <c r="A475" s="43" t="n"/>
      <c r="B475" s="44" t="n"/>
      <c r="C475" s="44" t="n"/>
      <c r="D475" s="45" t="n"/>
      <c r="E475" s="44" t="n"/>
    </row>
    <row r="476">
      <c r="A476" s="46" t="n"/>
      <c r="B476" s="47" t="n"/>
      <c r="C476" s="47" t="n"/>
      <c r="D476" s="48" t="n"/>
      <c r="E476" s="47" t="n"/>
    </row>
    <row r="477">
      <c r="A477" s="43" t="n"/>
      <c r="B477" s="44" t="n"/>
      <c r="C477" s="44" t="n"/>
      <c r="D477" s="45" t="n"/>
      <c r="E477" s="44" t="n"/>
    </row>
    <row r="478">
      <c r="A478" s="46" t="n"/>
      <c r="B478" s="47" t="n"/>
      <c r="C478" s="47" t="n"/>
      <c r="D478" s="48" t="n"/>
      <c r="E478" s="47" t="n"/>
    </row>
    <row r="479">
      <c r="A479" s="43" t="n"/>
      <c r="B479" s="44" t="n"/>
      <c r="C479" s="44" t="n"/>
      <c r="D479" s="45" t="n"/>
      <c r="E479" s="44" t="n"/>
    </row>
    <row r="480">
      <c r="A480" s="46" t="n"/>
      <c r="B480" s="47" t="n"/>
      <c r="C480" s="47" t="n"/>
      <c r="D480" s="48" t="n"/>
      <c r="E480" s="47" t="n"/>
    </row>
    <row r="481">
      <c r="A481" s="43" t="n"/>
      <c r="B481" s="44" t="n"/>
      <c r="C481" s="44" t="n"/>
      <c r="D481" s="45" t="n"/>
      <c r="E481" s="44" t="n"/>
    </row>
    <row r="482">
      <c r="A482" s="46" t="n"/>
      <c r="B482" s="47" t="n"/>
      <c r="C482" s="47" t="n"/>
      <c r="D482" s="48" t="n"/>
      <c r="E482" s="47" t="n"/>
    </row>
    <row r="483">
      <c r="A483" s="43" t="n"/>
      <c r="B483" s="44" t="n"/>
      <c r="C483" s="44" t="n"/>
      <c r="D483" s="45" t="n"/>
      <c r="E483" s="44" t="n"/>
    </row>
    <row r="484">
      <c r="A484" s="46" t="n"/>
      <c r="B484" s="47" t="n"/>
      <c r="C484" s="47" t="n"/>
      <c r="D484" s="48" t="n"/>
      <c r="E484" s="47" t="n"/>
    </row>
    <row r="485">
      <c r="A485" s="43" t="n"/>
      <c r="B485" s="44" t="n"/>
      <c r="C485" s="44" t="n"/>
      <c r="D485" s="45" t="n"/>
      <c r="E485" s="44" t="n"/>
    </row>
    <row r="486">
      <c r="A486" s="46" t="n"/>
      <c r="B486" s="47" t="n"/>
      <c r="C486" s="47" t="n"/>
      <c r="D486" s="48" t="n"/>
      <c r="E486" s="47" t="n"/>
    </row>
    <row r="487">
      <c r="A487" s="43" t="n"/>
      <c r="B487" s="44" t="n"/>
      <c r="C487" s="44" t="n"/>
      <c r="D487" s="45" t="n"/>
      <c r="E487" s="44" t="n"/>
    </row>
    <row r="488">
      <c r="A488" s="46" t="n"/>
      <c r="B488" s="47" t="n"/>
      <c r="C488" s="47" t="n"/>
      <c r="D488" s="48" t="n"/>
      <c r="E488" s="47" t="n"/>
    </row>
    <row r="489">
      <c r="A489" s="43" t="n"/>
      <c r="B489" s="44" t="n"/>
      <c r="C489" s="44" t="n"/>
      <c r="D489" s="45" t="n"/>
      <c r="E489" s="44" t="n"/>
    </row>
    <row r="490">
      <c r="A490" s="46" t="n"/>
      <c r="B490" s="47" t="n"/>
      <c r="C490" s="47" t="n"/>
      <c r="D490" s="48" t="n"/>
      <c r="E490" s="47" t="n"/>
    </row>
    <row r="491">
      <c r="A491" s="43" t="n"/>
      <c r="B491" s="44" t="n"/>
      <c r="C491" s="44" t="n"/>
      <c r="D491" s="45" t="n"/>
      <c r="E491" s="44" t="n"/>
    </row>
    <row r="492">
      <c r="A492" s="46" t="n"/>
      <c r="B492" s="47" t="n"/>
      <c r="C492" s="47" t="n"/>
      <c r="D492" s="48" t="n"/>
      <c r="E492" s="47" t="n"/>
    </row>
    <row r="493">
      <c r="A493" s="43" t="n"/>
      <c r="B493" s="44" t="n"/>
      <c r="C493" s="44" t="n"/>
      <c r="D493" s="45" t="n"/>
      <c r="E493" s="44" t="n"/>
    </row>
    <row r="494">
      <c r="A494" s="46" t="n"/>
      <c r="B494" s="47" t="n"/>
      <c r="C494" s="47" t="n"/>
      <c r="D494" s="48" t="n"/>
      <c r="E494" s="47" t="n"/>
    </row>
    <row r="495">
      <c r="A495" s="43" t="n"/>
      <c r="B495" s="44" t="n"/>
      <c r="C495" s="44" t="n"/>
      <c r="D495" s="45" t="n"/>
      <c r="E495" s="44" t="n"/>
    </row>
    <row r="496">
      <c r="A496" s="46" t="n"/>
      <c r="B496" s="47" t="n"/>
      <c r="C496" s="47" t="n"/>
      <c r="D496" s="48" t="n"/>
      <c r="E496" s="47" t="n"/>
    </row>
    <row r="497">
      <c r="A497" s="43" t="n"/>
      <c r="B497" s="44" t="n"/>
      <c r="C497" s="44" t="n"/>
      <c r="D497" s="45" t="n"/>
      <c r="E497" s="44" t="n"/>
    </row>
    <row r="498">
      <c r="A498" s="46" t="n"/>
      <c r="B498" s="47" t="n"/>
      <c r="C498" s="47" t="n"/>
      <c r="D498" s="48" t="n"/>
      <c r="E498" s="47" t="n"/>
    </row>
    <row r="499">
      <c r="A499" s="43" t="n"/>
      <c r="B499" s="44" t="n"/>
      <c r="C499" s="44" t="n"/>
      <c r="D499" s="45" t="n"/>
      <c r="E499" s="44" t="n"/>
    </row>
    <row r="500">
      <c r="A500" s="46" t="n"/>
      <c r="B500" s="47" t="n"/>
      <c r="C500" s="47" t="n"/>
      <c r="D500" s="48" t="n"/>
      <c r="E500" s="47" t="n"/>
    </row>
    <row r="501">
      <c r="A501" s="43" t="n"/>
      <c r="B501" s="44" t="n"/>
      <c r="C501" s="44" t="n"/>
      <c r="D501" s="45" t="n"/>
      <c r="E501" s="44" t="n"/>
    </row>
    <row r="502">
      <c r="A502" s="46" t="n"/>
      <c r="B502" s="47" t="n"/>
      <c r="C502" s="47" t="n"/>
      <c r="D502" s="48" t="n"/>
      <c r="E502" s="47" t="n"/>
    </row>
    <row r="503">
      <c r="A503" s="43" t="n"/>
      <c r="B503" s="44" t="n"/>
      <c r="C503" s="44" t="n"/>
      <c r="D503" s="45" t="n"/>
      <c r="E503" s="44" t="n"/>
    </row>
    <row r="504">
      <c r="A504" s="46" t="n"/>
      <c r="B504" s="47" t="n"/>
      <c r="C504" s="47" t="n"/>
      <c r="D504" s="48" t="n"/>
      <c r="E504" s="47" t="n"/>
    </row>
    <row r="505">
      <c r="A505" s="43" t="n"/>
      <c r="B505" s="44" t="n"/>
      <c r="C505" s="44" t="n"/>
      <c r="D505" s="45" t="n"/>
      <c r="E505" s="44" t="n"/>
    </row>
    <row r="506">
      <c r="A506" s="46" t="n"/>
      <c r="B506" s="47" t="n"/>
      <c r="C506" s="47" t="n"/>
      <c r="D506" s="48" t="n"/>
      <c r="E506" s="47" t="n"/>
    </row>
    <row r="507">
      <c r="A507" s="43" t="n"/>
      <c r="B507" s="44" t="n"/>
      <c r="C507" s="44" t="n"/>
      <c r="D507" s="45" t="n"/>
      <c r="E507" s="44" t="n"/>
    </row>
    <row r="508">
      <c r="A508" s="46" t="n"/>
      <c r="B508" s="47" t="n"/>
      <c r="C508" s="47" t="n"/>
      <c r="D508" s="48" t="n"/>
      <c r="E508" s="47" t="n"/>
    </row>
  </sheetData>
  <autoFilter ref="A2:E509"/>
  <mergeCells count="1">
    <mergeCell ref="A1:E1"/>
  </mergeCells>
  <dataValidations count="1">
    <dataValidation sqref="B3:B509" showDropDown="0" showInputMessage="0" showErrorMessage="0" allowBlank="1" errorTitle="Invalid Category" error="Please select a valid category" promptTitle="Category" prompt="Choose a budget category" type="list">
      <formula1>"Income,House Loan,Insurances,Subscriptions,Savings,Misc."</formula1>
    </dataValidation>
  </dataValidations>
  <pageMargins left="0.75" right="0.75" top="1" bottom="1" header="0.5" footer="0.5"/>
</worksheet>
</file>

<file path=xl/worksheets/sheet3.xml><?xml version="1.0" encoding="utf-8"?>
<worksheet xmlns="http://schemas.openxmlformats.org/spreadsheetml/2006/main">
  <sheetPr>
    <tabColor rgb="002E7D32"/>
    <outlinePr summaryBelow="1" summaryRight="1"/>
    <pageSetUpPr/>
  </sheetPr>
  <dimension ref="A1:G17"/>
  <sheetViews>
    <sheetView workbookViewId="0">
      <pane ySplit="3" topLeftCell="A4" activePane="bottomLeft" state="frozen"/>
      <selection pane="bottomLeft" activeCell="A1" sqref="A1"/>
    </sheetView>
  </sheetViews>
  <sheetFormatPr baseColWidth="8" defaultRowHeight="15"/>
  <cols>
    <col width="4" customWidth="1" min="1" max="1"/>
    <col width="28" customWidth="1" min="2" max="2"/>
    <col width="16" customWidth="1" min="3" max="3"/>
    <col width="16" customWidth="1" min="4" max="4"/>
    <col width="16" customWidth="1" min="5" max="5"/>
    <col width="14" customWidth="1" min="6" max="6"/>
    <col width="14" customWidth="1" min="7" max="7"/>
  </cols>
  <sheetData>
    <row r="1" ht="42" customHeight="1">
      <c r="A1" s="49" t="inlineStr">
        <is>
          <t>INCOME</t>
        </is>
      </c>
      <c r="B1" s="50" t="n"/>
      <c r="C1" s="50" t="n"/>
      <c r="D1" s="50" t="n"/>
      <c r="E1" s="50" t="n"/>
      <c r="F1" s="50" t="n"/>
      <c r="G1" s="50" t="n"/>
    </row>
    <row r="2" ht="24" customHeight="1">
      <c r="A2" s="51" t="inlineStr">
        <is>
          <t>All income sources for the month</t>
        </is>
      </c>
      <c r="B2" s="52" t="n"/>
      <c r="C2" s="52" t="n"/>
      <c r="D2" s="52" t="n"/>
      <c r="E2" s="52" t="n"/>
      <c r="F2" s="52" t="n"/>
      <c r="G2" s="52" t="n"/>
    </row>
    <row r="3" ht="32" customHeight="1">
      <c r="A3" s="53" t="inlineStr">
        <is>
          <t>#</t>
        </is>
      </c>
      <c r="B3" s="53" t="inlineStr">
        <is>
          <t>Source</t>
        </is>
      </c>
      <c r="C3" s="53" t="inlineStr">
        <is>
          <t>Budgeted (SEK)</t>
        </is>
      </c>
      <c r="D3" s="53" t="inlineStr">
        <is>
          <t>Actual (SEK)</t>
        </is>
      </c>
      <c r="E3" s="53" t="inlineStr"/>
      <c r="F3" s="53" t="inlineStr"/>
      <c r="G3" s="53" t="inlineStr"/>
    </row>
    <row r="4">
      <c r="A4" s="54" t="n">
        <v>1</v>
      </c>
      <c r="B4" s="55" t="inlineStr">
        <is>
          <t>Salary (net)</t>
        </is>
      </c>
      <c r="C4" s="56" t="n">
        <v>35000</v>
      </c>
      <c r="D4" s="56" t="n">
        <v>35000</v>
      </c>
    </row>
    <row r="5">
      <c r="A5" s="57" t="n">
        <v>2</v>
      </c>
      <c r="B5" s="58" t="inlineStr">
        <is>
          <t>Side income</t>
        </is>
      </c>
      <c r="C5" s="59" t="n">
        <v>0</v>
      </c>
      <c r="D5" s="59" t="n">
        <v>0</v>
      </c>
    </row>
    <row r="6">
      <c r="A6" s="54" t="n">
        <v>3</v>
      </c>
      <c r="B6" s="55" t="inlineStr">
        <is>
          <t>Other income</t>
        </is>
      </c>
      <c r="C6" s="56" t="n">
        <v>0</v>
      </c>
      <c r="D6" s="56" t="n">
        <v>0</v>
      </c>
    </row>
    <row r="7">
      <c r="A7" s="47" t="inlineStr"/>
      <c r="B7" s="47" t="inlineStr"/>
      <c r="C7" s="48" t="inlineStr"/>
      <c r="D7" s="48" t="inlineStr"/>
      <c r="E7" s="48" t="inlineStr"/>
      <c r="F7" s="48" t="inlineStr"/>
      <c r="G7" s="60" t="inlineStr"/>
    </row>
    <row r="8">
      <c r="A8" s="61" t="inlineStr"/>
      <c r="B8" s="61" t="inlineStr"/>
      <c r="C8" s="62" t="inlineStr"/>
      <c r="D8" s="62" t="inlineStr"/>
      <c r="E8" s="62" t="inlineStr"/>
      <c r="F8" s="62" t="inlineStr"/>
      <c r="G8" s="63" t="inlineStr"/>
    </row>
    <row r="9">
      <c r="A9" s="47" t="inlineStr"/>
      <c r="B9" s="47" t="inlineStr"/>
      <c r="C9" s="48" t="inlineStr"/>
      <c r="D9" s="48" t="inlineStr"/>
      <c r="E9" s="48" t="inlineStr"/>
      <c r="F9" s="48" t="inlineStr"/>
      <c r="G9" s="60" t="inlineStr"/>
    </row>
    <row r="10">
      <c r="A10" s="61" t="inlineStr"/>
      <c r="B10" s="61" t="inlineStr"/>
      <c r="C10" s="62" t="inlineStr"/>
      <c r="D10" s="62" t="inlineStr"/>
      <c r="E10" s="62" t="inlineStr"/>
      <c r="F10" s="62" t="inlineStr"/>
      <c r="G10" s="63" t="inlineStr"/>
    </row>
    <row r="11">
      <c r="A11" s="47" t="inlineStr"/>
      <c r="B11" s="47" t="inlineStr"/>
      <c r="C11" s="48" t="inlineStr"/>
      <c r="D11" s="48" t="inlineStr"/>
      <c r="E11" s="48" t="inlineStr"/>
      <c r="F11" s="48" t="inlineStr"/>
      <c r="G11" s="60" t="inlineStr"/>
    </row>
    <row r="12">
      <c r="A12" s="61" t="inlineStr"/>
      <c r="B12" s="61" t="inlineStr"/>
      <c r="C12" s="62" t="inlineStr"/>
      <c r="D12" s="62" t="inlineStr"/>
      <c r="E12" s="62" t="inlineStr"/>
      <c r="F12" s="62" t="inlineStr"/>
      <c r="G12" s="63" t="inlineStr"/>
    </row>
    <row r="13">
      <c r="A13" s="47" t="inlineStr"/>
      <c r="B13" s="47" t="inlineStr"/>
      <c r="C13" s="48" t="inlineStr"/>
      <c r="D13" s="48" t="inlineStr"/>
      <c r="E13" s="48" t="inlineStr"/>
      <c r="F13" s="48" t="inlineStr"/>
      <c r="G13" s="60" t="inlineStr"/>
    </row>
    <row r="14">
      <c r="A14" s="61" t="inlineStr"/>
      <c r="B14" s="61" t="inlineStr"/>
      <c r="C14" s="62" t="inlineStr"/>
      <c r="D14" s="62" t="inlineStr"/>
      <c r="E14" s="62" t="inlineStr"/>
      <c r="F14" s="62" t="inlineStr"/>
      <c r="G14" s="63" t="inlineStr"/>
    </row>
    <row r="15">
      <c r="A15" s="47" t="inlineStr"/>
      <c r="B15" s="47" t="inlineStr"/>
      <c r="C15" s="48" t="inlineStr"/>
      <c r="D15" s="48" t="inlineStr"/>
      <c r="E15" s="48" t="inlineStr"/>
      <c r="F15" s="48" t="inlineStr"/>
      <c r="G15" s="60" t="inlineStr"/>
    </row>
    <row r="16">
      <c r="A16" s="61" t="inlineStr"/>
      <c r="B16" s="61" t="inlineStr"/>
      <c r="C16" s="62" t="inlineStr"/>
      <c r="D16" s="62" t="inlineStr"/>
      <c r="E16" s="62" t="inlineStr"/>
      <c r="F16" s="62" t="inlineStr"/>
      <c r="G16" s="63" t="inlineStr"/>
    </row>
    <row r="17">
      <c r="A17" s="64" t="inlineStr"/>
      <c r="B17" s="65" t="inlineStr">
        <is>
          <t>TOTAL — INCOME</t>
        </is>
      </c>
      <c r="C17" s="66">
        <f>SUM(C4:C16)</f>
        <v/>
      </c>
      <c r="D17" s="66">
        <f>SUM(D4:D16)</f>
        <v/>
      </c>
      <c r="E17" s="67" t="n"/>
      <c r="F17" s="67" t="n"/>
      <c r="G17" s="67" t="n"/>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tabColor rgb="001565C0"/>
    <outlinePr summaryBelow="1" summaryRight="1"/>
    <pageSetUpPr/>
  </sheetPr>
  <dimension ref="A1:G20"/>
  <sheetViews>
    <sheetView workbookViewId="0">
      <pane ySplit="3" topLeftCell="A4" activePane="bottomLeft" state="frozen"/>
      <selection pane="bottomLeft" activeCell="A1" sqref="A1"/>
    </sheetView>
  </sheetViews>
  <sheetFormatPr baseColWidth="8" defaultRowHeight="15"/>
  <cols>
    <col width="4" customWidth="1" min="1" max="1"/>
    <col width="28" customWidth="1" min="2" max="2"/>
    <col width="16" customWidth="1" min="3" max="3"/>
    <col width="16" customWidth="1" min="4" max="4"/>
    <col width="16" customWidth="1" min="5" max="5"/>
    <col width="14" customWidth="1" min="6" max="6"/>
    <col width="14" customWidth="1" min="7" max="7"/>
  </cols>
  <sheetData>
    <row r="1" ht="42" customHeight="1">
      <c r="A1" s="68" t="inlineStr">
        <is>
          <t>HOUSE LOAN</t>
        </is>
      </c>
      <c r="B1" s="69" t="n"/>
      <c r="C1" s="69" t="n"/>
      <c r="D1" s="69" t="n"/>
      <c r="E1" s="69" t="n"/>
      <c r="F1" s="69" t="n"/>
      <c r="G1" s="69" t="n"/>
    </row>
    <row r="2" ht="24" customHeight="1">
      <c r="A2" s="70" t="inlineStr">
        <is>
          <t>Housing-related fixed costs</t>
        </is>
      </c>
      <c r="B2" s="71" t="n"/>
      <c r="C2" s="71" t="n"/>
      <c r="D2" s="71" t="n"/>
      <c r="E2" s="71" t="n"/>
      <c r="F2" s="71" t="n"/>
      <c r="G2" s="71" t="n"/>
    </row>
    <row r="3" ht="32" customHeight="1">
      <c r="A3" s="72" t="inlineStr">
        <is>
          <t>#</t>
        </is>
      </c>
      <c r="B3" s="72" t="inlineStr">
        <is>
          <t>Item</t>
        </is>
      </c>
      <c r="C3" s="72" t="inlineStr">
        <is>
          <t>Budget (SEK)</t>
        </is>
      </c>
      <c r="D3" s="72" t="inlineStr">
        <is>
          <t>Spent from Log (SEK)</t>
        </is>
      </c>
      <c r="E3" s="72" t="inlineStr">
        <is>
          <t>Spent Total (SEK)</t>
        </is>
      </c>
      <c r="F3" s="72" t="inlineStr">
        <is>
          <t>Remaining (SEK)</t>
        </is>
      </c>
      <c r="G3" s="72" t="inlineStr">
        <is>
          <t>% Used</t>
        </is>
      </c>
    </row>
    <row r="4">
      <c r="A4" s="73" t="n">
        <v>1</v>
      </c>
      <c r="B4" s="74" t="inlineStr">
        <is>
          <t>Mortgage payment</t>
        </is>
      </c>
      <c r="C4" s="75" t="n">
        <v>8500</v>
      </c>
      <c r="D4" s="76">
        <f>SUMPRODUCT(('Monthly Log'!B$3:B$509="House Loan")*(ISNUMBER(SEARCH(B4,'Monthly Log'!C$3:C$509)))*('Monthly Log'!D$3:D$509))</f>
        <v/>
      </c>
      <c r="E4" s="75">
        <f>D4</f>
        <v/>
      </c>
      <c r="F4" s="77">
        <f>C4-E4</f>
        <v/>
      </c>
      <c r="G4" s="78">
        <f>IFERROR(E4/C4, 0)</f>
        <v/>
      </c>
    </row>
    <row r="5">
      <c r="A5" s="57" t="n">
        <v>2</v>
      </c>
      <c r="B5" s="58" t="inlineStr">
        <is>
          <t>Amortisation</t>
        </is>
      </c>
      <c r="C5" s="59" t="n">
        <v>3000</v>
      </c>
      <c r="D5" s="79">
        <f>SUMPRODUCT(('Monthly Log'!B$3:B$509="House Loan")*(ISNUMBER(SEARCH(B5,'Monthly Log'!C$3:C$509)))*('Monthly Log'!D$3:D$509))</f>
        <v/>
      </c>
      <c r="E5" s="59">
        <f>D5</f>
        <v/>
      </c>
      <c r="F5" s="80">
        <f>C5-E5</f>
        <v/>
      </c>
      <c r="G5" s="81">
        <f>IFERROR(E5/C5, 0)</f>
        <v/>
      </c>
    </row>
    <row r="6">
      <c r="A6" s="73" t="n">
        <v>3</v>
      </c>
      <c r="B6" s="74" t="inlineStr">
        <is>
          <t>HOA / Bostadsrättsavgift</t>
        </is>
      </c>
      <c r="C6" s="75" t="n">
        <v>4200</v>
      </c>
      <c r="D6" s="76">
        <f>SUMPRODUCT(('Monthly Log'!B$3:B$509="House Loan")*(ISNUMBER(SEARCH(B6,'Monthly Log'!C$3:C$509)))*('Monthly Log'!D$3:D$509))</f>
        <v/>
      </c>
      <c r="E6" s="75">
        <f>D6</f>
        <v/>
      </c>
      <c r="F6" s="77">
        <f>C6-E6</f>
        <v/>
      </c>
      <c r="G6" s="78">
        <f>IFERROR(E6/C6, 0)</f>
        <v/>
      </c>
    </row>
    <row r="7">
      <c r="A7" s="57" t="n">
        <v>4</v>
      </c>
      <c r="B7" s="58" t="inlineStr">
        <is>
          <t>Home insurance (building)</t>
        </is>
      </c>
      <c r="C7" s="59" t="n">
        <v>350</v>
      </c>
      <c r="D7" s="79">
        <f>SUMPRODUCT(('Monthly Log'!B$3:B$509="House Loan")*(ISNUMBER(SEARCH(B7,'Monthly Log'!C$3:C$509)))*('Monthly Log'!D$3:D$509))</f>
        <v/>
      </c>
      <c r="E7" s="59">
        <f>D7</f>
        <v/>
      </c>
      <c r="F7" s="80">
        <f>C7-E7</f>
        <v/>
      </c>
      <c r="G7" s="81">
        <f>IFERROR(E7/C7, 0)</f>
        <v/>
      </c>
    </row>
    <row r="8">
      <c r="A8" s="73" t="n">
        <v>5</v>
      </c>
      <c r="B8" s="74" t="inlineStr">
        <is>
          <t>Electricity</t>
        </is>
      </c>
      <c r="C8" s="75" t="n">
        <v>800</v>
      </c>
      <c r="D8" s="76">
        <f>SUMPRODUCT(('Monthly Log'!B$3:B$509="House Loan")*(ISNUMBER(SEARCH(B8,'Monthly Log'!C$3:C$509)))*('Monthly Log'!D$3:D$509))</f>
        <v/>
      </c>
      <c r="E8" s="75">
        <f>D8</f>
        <v/>
      </c>
      <c r="F8" s="77">
        <f>C8-E8</f>
        <v/>
      </c>
      <c r="G8" s="78">
        <f>IFERROR(E8/C8, 0)</f>
        <v/>
      </c>
    </row>
    <row r="9">
      <c r="A9" s="57" t="n">
        <v>6</v>
      </c>
      <c r="B9" s="58" t="inlineStr">
        <is>
          <t>Internet</t>
        </is>
      </c>
      <c r="C9" s="59" t="n">
        <v>399</v>
      </c>
      <c r="D9" s="79">
        <f>SUMPRODUCT(('Monthly Log'!B$3:B$509="House Loan")*(ISNUMBER(SEARCH(B9,'Monthly Log'!C$3:C$509)))*('Monthly Log'!D$3:D$509))</f>
        <v/>
      </c>
      <c r="E9" s="59">
        <f>D9</f>
        <v/>
      </c>
      <c r="F9" s="80">
        <f>C9-E9</f>
        <v/>
      </c>
      <c r="G9" s="81">
        <f>IFERROR(E9/C9, 0)</f>
        <v/>
      </c>
    </row>
    <row r="10">
      <c r="A10" s="82" t="inlineStr"/>
      <c r="B10" s="82" t="inlineStr"/>
      <c r="C10" s="83" t="inlineStr"/>
      <c r="D10" s="83" t="inlineStr"/>
      <c r="E10" s="83" t="inlineStr"/>
      <c r="F10" s="83" t="inlineStr"/>
      <c r="G10" s="84" t="inlineStr"/>
    </row>
    <row r="11">
      <c r="A11" s="47" t="inlineStr"/>
      <c r="B11" s="47" t="inlineStr"/>
      <c r="C11" s="48" t="inlineStr"/>
      <c r="D11" s="48" t="inlineStr"/>
      <c r="E11" s="48" t="inlineStr"/>
      <c r="F11" s="48" t="inlineStr"/>
      <c r="G11" s="60" t="inlineStr"/>
    </row>
    <row r="12">
      <c r="A12" s="82" t="inlineStr"/>
      <c r="B12" s="82" t="inlineStr"/>
      <c r="C12" s="83" t="inlineStr"/>
      <c r="D12" s="83" t="inlineStr"/>
      <c r="E12" s="83" t="inlineStr"/>
      <c r="F12" s="83" t="inlineStr"/>
      <c r="G12" s="84" t="inlineStr"/>
    </row>
    <row r="13">
      <c r="A13" s="47" t="inlineStr"/>
      <c r="B13" s="47" t="inlineStr"/>
      <c r="C13" s="48" t="inlineStr"/>
      <c r="D13" s="48" t="inlineStr"/>
      <c r="E13" s="48" t="inlineStr"/>
      <c r="F13" s="48" t="inlineStr"/>
      <c r="G13" s="60" t="inlineStr"/>
    </row>
    <row r="14">
      <c r="A14" s="82" t="inlineStr"/>
      <c r="B14" s="82" t="inlineStr"/>
      <c r="C14" s="83" t="inlineStr"/>
      <c r="D14" s="83" t="inlineStr"/>
      <c r="E14" s="83" t="inlineStr"/>
      <c r="F14" s="83" t="inlineStr"/>
      <c r="G14" s="84" t="inlineStr"/>
    </row>
    <row r="15">
      <c r="A15" s="47" t="inlineStr"/>
      <c r="B15" s="47" t="inlineStr"/>
      <c r="C15" s="48" t="inlineStr"/>
      <c r="D15" s="48" t="inlineStr"/>
      <c r="E15" s="48" t="inlineStr"/>
      <c r="F15" s="48" t="inlineStr"/>
      <c r="G15" s="60" t="inlineStr"/>
    </row>
    <row r="16">
      <c r="A16" s="82" t="inlineStr"/>
      <c r="B16" s="82" t="inlineStr"/>
      <c r="C16" s="83" t="inlineStr"/>
      <c r="D16" s="83" t="inlineStr"/>
      <c r="E16" s="83" t="inlineStr"/>
      <c r="F16" s="83" t="inlineStr"/>
      <c r="G16" s="84" t="inlineStr"/>
    </row>
    <row r="17">
      <c r="A17" s="47" t="inlineStr"/>
      <c r="B17" s="47" t="inlineStr"/>
      <c r="C17" s="48" t="inlineStr"/>
      <c r="D17" s="48" t="inlineStr"/>
      <c r="E17" s="48" t="inlineStr"/>
      <c r="F17" s="48" t="inlineStr"/>
      <c r="G17" s="60" t="inlineStr"/>
    </row>
    <row r="18">
      <c r="A18" s="82" t="inlineStr"/>
      <c r="B18" s="82" t="inlineStr"/>
      <c r="C18" s="83" t="inlineStr"/>
      <c r="D18" s="83" t="inlineStr"/>
      <c r="E18" s="83" t="inlineStr"/>
      <c r="F18" s="83" t="inlineStr"/>
      <c r="G18" s="84" t="inlineStr"/>
    </row>
    <row r="19">
      <c r="A19" s="47" t="inlineStr"/>
      <c r="B19" s="47" t="inlineStr"/>
      <c r="C19" s="48" t="inlineStr"/>
      <c r="D19" s="48" t="inlineStr"/>
      <c r="E19" s="48" t="inlineStr"/>
      <c r="F19" s="48" t="inlineStr"/>
      <c r="G19" s="60" t="inlineStr"/>
    </row>
    <row r="20">
      <c r="A20" s="85" t="inlineStr"/>
      <c r="B20" s="86" t="inlineStr">
        <is>
          <t>TOTAL — HOUSE LOAN</t>
        </is>
      </c>
      <c r="C20" s="87">
        <f>SUM(C4:C19)</f>
        <v/>
      </c>
      <c r="D20" s="87">
        <f>SUM(D4:D19)</f>
        <v/>
      </c>
      <c r="E20" s="87">
        <f>SUM(E4:E19)</f>
        <v/>
      </c>
      <c r="F20" s="87">
        <f>C20-E20</f>
        <v/>
      </c>
      <c r="G20" s="88">
        <f>IFERROR(E20/C20, 0)</f>
        <v/>
      </c>
    </row>
  </sheetData>
  <mergeCells count="2">
    <mergeCell ref="A2:G2"/>
    <mergeCell ref="A1:G1"/>
  </mergeCells>
  <pageMargins left="0.75" right="0.75" top="1" bottom="1" header="0.5" footer="0.5"/>
</worksheet>
</file>

<file path=xl/worksheets/sheet5.xml><?xml version="1.0" encoding="utf-8"?>
<worksheet xmlns="http://schemas.openxmlformats.org/spreadsheetml/2006/main">
  <sheetPr>
    <tabColor rgb="006A1B9A"/>
    <outlinePr summaryBelow="1" summaryRight="1"/>
    <pageSetUpPr/>
  </sheetPr>
  <dimension ref="A1:G18"/>
  <sheetViews>
    <sheetView workbookViewId="0">
      <pane ySplit="3" topLeftCell="A4" activePane="bottomLeft" state="frozen"/>
      <selection pane="bottomLeft" activeCell="A1" sqref="A1"/>
    </sheetView>
  </sheetViews>
  <sheetFormatPr baseColWidth="8" defaultRowHeight="15"/>
  <cols>
    <col width="4" customWidth="1" min="1" max="1"/>
    <col width="28" customWidth="1" min="2" max="2"/>
    <col width="16" customWidth="1" min="3" max="3"/>
    <col width="16" customWidth="1" min="4" max="4"/>
    <col width="16" customWidth="1" min="5" max="5"/>
    <col width="14" customWidth="1" min="6" max="6"/>
    <col width="14" customWidth="1" min="7" max="7"/>
  </cols>
  <sheetData>
    <row r="1" ht="42" customHeight="1">
      <c r="A1" s="89" t="inlineStr">
        <is>
          <t>INSURANCES</t>
        </is>
      </c>
      <c r="B1" s="90" t="n"/>
      <c r="C1" s="90" t="n"/>
      <c r="D1" s="90" t="n"/>
      <c r="E1" s="90" t="n"/>
      <c r="F1" s="90" t="n"/>
      <c r="G1" s="90" t="n"/>
    </row>
    <row r="2" ht="24" customHeight="1">
      <c r="A2" s="91" t="inlineStr">
        <is>
          <t>Monthly insurance premiums</t>
        </is>
      </c>
      <c r="B2" s="92" t="n"/>
      <c r="C2" s="92" t="n"/>
      <c r="D2" s="92" t="n"/>
      <c r="E2" s="92" t="n"/>
      <c r="F2" s="92" t="n"/>
      <c r="G2" s="92" t="n"/>
    </row>
    <row r="3" ht="32" customHeight="1">
      <c r="A3" s="93" t="inlineStr">
        <is>
          <t>#</t>
        </is>
      </c>
      <c r="B3" s="93" t="inlineStr">
        <is>
          <t>Item</t>
        </is>
      </c>
      <c r="C3" s="93" t="inlineStr">
        <is>
          <t>Budget (SEK)</t>
        </is>
      </c>
      <c r="D3" s="93" t="inlineStr">
        <is>
          <t>Spent from Log (SEK)</t>
        </is>
      </c>
      <c r="E3" s="93" t="inlineStr">
        <is>
          <t>Spent Total (SEK)</t>
        </is>
      </c>
      <c r="F3" s="93" t="inlineStr">
        <is>
          <t>Remaining (SEK)</t>
        </is>
      </c>
      <c r="G3" s="93" t="inlineStr">
        <is>
          <t>% Used</t>
        </is>
      </c>
    </row>
    <row r="4">
      <c r="A4" s="94" t="n">
        <v>1</v>
      </c>
      <c r="B4" s="95" t="inlineStr">
        <is>
          <t>Health insurance</t>
        </is>
      </c>
      <c r="C4" s="96" t="n">
        <v>450</v>
      </c>
      <c r="D4" s="97">
        <f>SUMPRODUCT(('Monthly Log'!B$3:B$509="Insurances")*(ISNUMBER(SEARCH(B4,'Monthly Log'!C$3:C$509)))*('Monthly Log'!D$3:D$509))</f>
        <v/>
      </c>
      <c r="E4" s="96">
        <f>D4</f>
        <v/>
      </c>
      <c r="F4" s="98">
        <f>C4-E4</f>
        <v/>
      </c>
      <c r="G4" s="99">
        <f>IFERROR(E4/C4, 0)</f>
        <v/>
      </c>
    </row>
    <row r="5">
      <c r="A5" s="57" t="n">
        <v>2</v>
      </c>
      <c r="B5" s="58" t="inlineStr">
        <is>
          <t>Car insurance</t>
        </is>
      </c>
      <c r="C5" s="59" t="n">
        <v>600</v>
      </c>
      <c r="D5" s="79">
        <f>SUMPRODUCT(('Monthly Log'!B$3:B$509="Insurances")*(ISNUMBER(SEARCH(B5,'Monthly Log'!C$3:C$509)))*('Monthly Log'!D$3:D$509))</f>
        <v/>
      </c>
      <c r="E5" s="59">
        <f>D5</f>
        <v/>
      </c>
      <c r="F5" s="100">
        <f>C5-E5</f>
        <v/>
      </c>
      <c r="G5" s="101">
        <f>IFERROR(E5/C5, 0)</f>
        <v/>
      </c>
    </row>
    <row r="6">
      <c r="A6" s="94" t="n">
        <v>3</v>
      </c>
      <c r="B6" s="95" t="inlineStr">
        <is>
          <t>Life insurance</t>
        </is>
      </c>
      <c r="C6" s="96" t="n">
        <v>300</v>
      </c>
      <c r="D6" s="97">
        <f>SUMPRODUCT(('Monthly Log'!B$3:B$509="Insurances")*(ISNUMBER(SEARCH(B6,'Monthly Log'!C$3:C$509)))*('Monthly Log'!D$3:D$509))</f>
        <v/>
      </c>
      <c r="E6" s="96">
        <f>D6</f>
        <v/>
      </c>
      <c r="F6" s="98">
        <f>C6-E6</f>
        <v/>
      </c>
      <c r="G6" s="99">
        <f>IFERROR(E6/C6, 0)</f>
        <v/>
      </c>
    </row>
    <row r="7">
      <c r="A7" s="57" t="n">
        <v>4</v>
      </c>
      <c r="B7" s="58" t="inlineStr">
        <is>
          <t>Pet insurance</t>
        </is>
      </c>
      <c r="C7" s="59" t="n">
        <v>250</v>
      </c>
      <c r="D7" s="79">
        <f>SUMPRODUCT(('Monthly Log'!B$3:B$509="Insurances")*(ISNUMBER(SEARCH(B7,'Monthly Log'!C$3:C$509)))*('Monthly Log'!D$3:D$509))</f>
        <v/>
      </c>
      <c r="E7" s="59">
        <f>D7</f>
        <v/>
      </c>
      <c r="F7" s="100">
        <f>C7-E7</f>
        <v/>
      </c>
      <c r="G7" s="101">
        <f>IFERROR(E7/C7, 0)</f>
        <v/>
      </c>
    </row>
    <row r="8">
      <c r="A8" s="102" t="inlineStr"/>
      <c r="B8" s="102" t="inlineStr"/>
      <c r="C8" s="103" t="inlineStr"/>
      <c r="D8" s="103" t="inlineStr"/>
      <c r="E8" s="103" t="inlineStr"/>
      <c r="F8" s="103" t="inlineStr"/>
      <c r="G8" s="104" t="inlineStr"/>
    </row>
    <row r="9">
      <c r="A9" s="47" t="inlineStr"/>
      <c r="B9" s="47" t="inlineStr"/>
      <c r="C9" s="48" t="inlineStr"/>
      <c r="D9" s="48" t="inlineStr"/>
      <c r="E9" s="48" t="inlineStr"/>
      <c r="F9" s="48" t="inlineStr"/>
      <c r="G9" s="60" t="inlineStr"/>
    </row>
    <row r="10">
      <c r="A10" s="102" t="inlineStr"/>
      <c r="B10" s="102" t="inlineStr"/>
      <c r="C10" s="103" t="inlineStr"/>
      <c r="D10" s="103" t="inlineStr"/>
      <c r="E10" s="103" t="inlineStr"/>
      <c r="F10" s="103" t="inlineStr"/>
      <c r="G10" s="104" t="inlineStr"/>
    </row>
    <row r="11">
      <c r="A11" s="47" t="inlineStr"/>
      <c r="B11" s="47" t="inlineStr"/>
      <c r="C11" s="48" t="inlineStr"/>
      <c r="D11" s="48" t="inlineStr"/>
      <c r="E11" s="48" t="inlineStr"/>
      <c r="F11" s="48" t="inlineStr"/>
      <c r="G11" s="60" t="inlineStr"/>
    </row>
    <row r="12">
      <c r="A12" s="102" t="inlineStr"/>
      <c r="B12" s="102" t="inlineStr"/>
      <c r="C12" s="103" t="inlineStr"/>
      <c r="D12" s="103" t="inlineStr"/>
      <c r="E12" s="103" t="inlineStr"/>
      <c r="F12" s="103" t="inlineStr"/>
      <c r="G12" s="104" t="inlineStr"/>
    </row>
    <row r="13">
      <c r="A13" s="47" t="inlineStr"/>
      <c r="B13" s="47" t="inlineStr"/>
      <c r="C13" s="48" t="inlineStr"/>
      <c r="D13" s="48" t="inlineStr"/>
      <c r="E13" s="48" t="inlineStr"/>
      <c r="F13" s="48" t="inlineStr"/>
      <c r="G13" s="60" t="inlineStr"/>
    </row>
    <row r="14">
      <c r="A14" s="102" t="inlineStr"/>
      <c r="B14" s="102" t="inlineStr"/>
      <c r="C14" s="103" t="inlineStr"/>
      <c r="D14" s="103" t="inlineStr"/>
      <c r="E14" s="103" t="inlineStr"/>
      <c r="F14" s="103" t="inlineStr"/>
      <c r="G14" s="104" t="inlineStr"/>
    </row>
    <row r="15">
      <c r="A15" s="47" t="inlineStr"/>
      <c r="B15" s="47" t="inlineStr"/>
      <c r="C15" s="48" t="inlineStr"/>
      <c r="D15" s="48" t="inlineStr"/>
      <c r="E15" s="48" t="inlineStr"/>
      <c r="F15" s="48" t="inlineStr"/>
      <c r="G15" s="60" t="inlineStr"/>
    </row>
    <row r="16">
      <c r="A16" s="102" t="inlineStr"/>
      <c r="B16" s="102" t="inlineStr"/>
      <c r="C16" s="103" t="inlineStr"/>
      <c r="D16" s="103" t="inlineStr"/>
      <c r="E16" s="103" t="inlineStr"/>
      <c r="F16" s="103" t="inlineStr"/>
      <c r="G16" s="104" t="inlineStr"/>
    </row>
    <row r="17">
      <c r="A17" s="47" t="inlineStr"/>
      <c r="B17" s="47" t="inlineStr"/>
      <c r="C17" s="48" t="inlineStr"/>
      <c r="D17" s="48" t="inlineStr"/>
      <c r="E17" s="48" t="inlineStr"/>
      <c r="F17" s="48" t="inlineStr"/>
      <c r="G17" s="60" t="inlineStr"/>
    </row>
    <row r="18">
      <c r="A18" s="105" t="inlineStr"/>
      <c r="B18" s="106" t="inlineStr">
        <is>
          <t>TOTAL — INSURANCES</t>
        </is>
      </c>
      <c r="C18" s="107">
        <f>SUM(C4:C17)</f>
        <v/>
      </c>
      <c r="D18" s="107">
        <f>SUM(D4:D17)</f>
        <v/>
      </c>
      <c r="E18" s="107">
        <f>SUM(E4:E17)</f>
        <v/>
      </c>
      <c r="F18" s="107">
        <f>C18-E18</f>
        <v/>
      </c>
      <c r="G18" s="108">
        <f>IFERROR(E18/C18, 0)</f>
        <v/>
      </c>
    </row>
  </sheetData>
  <mergeCells count="2">
    <mergeCell ref="A2:G2"/>
    <mergeCell ref="A1:G1"/>
  </mergeCells>
  <pageMargins left="0.75" right="0.75" top="1" bottom="1" header="0.5" footer="0.5"/>
</worksheet>
</file>

<file path=xl/worksheets/sheet6.xml><?xml version="1.0" encoding="utf-8"?>
<worksheet xmlns="http://schemas.openxmlformats.org/spreadsheetml/2006/main">
  <sheetPr>
    <tabColor rgb="00E65100"/>
    <outlinePr summaryBelow="1" summaryRight="1"/>
    <pageSetUpPr/>
  </sheetPr>
  <dimension ref="A1:G19"/>
  <sheetViews>
    <sheetView workbookViewId="0">
      <pane ySplit="3" topLeftCell="A4" activePane="bottomLeft" state="frozen"/>
      <selection pane="bottomLeft" activeCell="A1" sqref="A1"/>
    </sheetView>
  </sheetViews>
  <sheetFormatPr baseColWidth="8" defaultRowHeight="15"/>
  <cols>
    <col width="4" customWidth="1" min="1" max="1"/>
    <col width="28" customWidth="1" min="2" max="2"/>
    <col width="16" customWidth="1" min="3" max="3"/>
    <col width="16" customWidth="1" min="4" max="4"/>
    <col width="16" customWidth="1" min="5" max="5"/>
    <col width="14" customWidth="1" min="6" max="6"/>
    <col width="14" customWidth="1" min="7" max="7"/>
  </cols>
  <sheetData>
    <row r="1" ht="42" customHeight="1">
      <c r="A1" s="109" t="inlineStr">
        <is>
          <t>SUBSCRIPTIONS</t>
        </is>
      </c>
      <c r="B1" s="110" t="n"/>
      <c r="C1" s="110" t="n"/>
      <c r="D1" s="110" t="n"/>
      <c r="E1" s="110" t="n"/>
      <c r="F1" s="110" t="n"/>
      <c r="G1" s="110" t="n"/>
    </row>
    <row r="2" ht="24" customHeight="1">
      <c r="A2" s="111" t="inlineStr">
        <is>
          <t>Recurring subscription services</t>
        </is>
      </c>
      <c r="B2" s="112" t="n"/>
      <c r="C2" s="112" t="n"/>
      <c r="D2" s="112" t="n"/>
      <c r="E2" s="112" t="n"/>
      <c r="F2" s="112" t="n"/>
      <c r="G2" s="112" t="n"/>
    </row>
    <row r="3" ht="32" customHeight="1">
      <c r="A3" s="113" t="inlineStr">
        <is>
          <t>#</t>
        </is>
      </c>
      <c r="B3" s="113" t="inlineStr">
        <is>
          <t>Item</t>
        </is>
      </c>
      <c r="C3" s="113" t="inlineStr">
        <is>
          <t>Budget (SEK)</t>
        </is>
      </c>
      <c r="D3" s="113" t="inlineStr">
        <is>
          <t>Spent from Log (SEK)</t>
        </is>
      </c>
      <c r="E3" s="113" t="inlineStr">
        <is>
          <t>Spent Total (SEK)</t>
        </is>
      </c>
      <c r="F3" s="113" t="inlineStr">
        <is>
          <t>Remaining (SEK)</t>
        </is>
      </c>
      <c r="G3" s="113" t="inlineStr">
        <is>
          <t>% Used</t>
        </is>
      </c>
    </row>
    <row r="4">
      <c r="A4" s="114" t="n">
        <v>1</v>
      </c>
      <c r="B4" s="115" t="inlineStr">
        <is>
          <t>Spotify</t>
        </is>
      </c>
      <c r="C4" s="116" t="n">
        <v>129</v>
      </c>
      <c r="D4" s="117">
        <f>SUMPRODUCT(('Monthly Log'!B$3:B$509="Subscriptions")*(ISNUMBER(SEARCH(B4,'Monthly Log'!C$3:C$509)))*('Monthly Log'!D$3:D$509))</f>
        <v/>
      </c>
      <c r="E4" s="116">
        <f>D4</f>
        <v/>
      </c>
      <c r="F4" s="118">
        <f>C4-E4</f>
        <v/>
      </c>
      <c r="G4" s="119">
        <f>IFERROR(E4/C4, 0)</f>
        <v/>
      </c>
    </row>
    <row r="5">
      <c r="A5" s="57" t="n">
        <v>2</v>
      </c>
      <c r="B5" s="58" t="inlineStr">
        <is>
          <t>Netflix</t>
        </is>
      </c>
      <c r="C5" s="59" t="n">
        <v>169</v>
      </c>
      <c r="D5" s="79">
        <f>SUMPRODUCT(('Monthly Log'!B$3:B$509="Subscriptions")*(ISNUMBER(SEARCH(B5,'Monthly Log'!C$3:C$509)))*('Monthly Log'!D$3:D$509))</f>
        <v/>
      </c>
      <c r="E5" s="59">
        <f>D5</f>
        <v/>
      </c>
      <c r="F5" s="120">
        <f>C5-E5</f>
        <v/>
      </c>
      <c r="G5" s="121">
        <f>IFERROR(E5/C5, 0)</f>
        <v/>
      </c>
    </row>
    <row r="6">
      <c r="A6" s="114" t="n">
        <v>3</v>
      </c>
      <c r="B6" s="115" t="inlineStr">
        <is>
          <t>Cloud storage</t>
        </is>
      </c>
      <c r="C6" s="116" t="n">
        <v>99</v>
      </c>
      <c r="D6" s="117">
        <f>SUMPRODUCT(('Monthly Log'!B$3:B$509="Subscriptions")*(ISNUMBER(SEARCH(B6,'Monthly Log'!C$3:C$509)))*('Monthly Log'!D$3:D$509))</f>
        <v/>
      </c>
      <c r="E6" s="116">
        <f>D6</f>
        <v/>
      </c>
      <c r="F6" s="118">
        <f>C6-E6</f>
        <v/>
      </c>
      <c r="G6" s="119">
        <f>IFERROR(E6/C6, 0)</f>
        <v/>
      </c>
    </row>
    <row r="7">
      <c r="A7" s="57" t="n">
        <v>4</v>
      </c>
      <c r="B7" s="58" t="inlineStr">
        <is>
          <t>Gym membership</t>
        </is>
      </c>
      <c r="C7" s="59" t="n">
        <v>399</v>
      </c>
      <c r="D7" s="79">
        <f>SUMPRODUCT(('Monthly Log'!B$3:B$509="Subscriptions")*(ISNUMBER(SEARCH(B7,'Monthly Log'!C$3:C$509)))*('Monthly Log'!D$3:D$509))</f>
        <v/>
      </c>
      <c r="E7" s="59">
        <f>D7</f>
        <v/>
      </c>
      <c r="F7" s="120">
        <f>C7-E7</f>
        <v/>
      </c>
      <c r="G7" s="121">
        <f>IFERROR(E7/C7, 0)</f>
        <v/>
      </c>
    </row>
    <row r="8">
      <c r="A8" s="114" t="n">
        <v>5</v>
      </c>
      <c r="B8" s="115" t="inlineStr">
        <is>
          <t>News / magazine</t>
        </is>
      </c>
      <c r="C8" s="116" t="n">
        <v>149</v>
      </c>
      <c r="D8" s="117">
        <f>SUMPRODUCT(('Monthly Log'!B$3:B$509="Subscriptions")*(ISNUMBER(SEARCH(B8,'Monthly Log'!C$3:C$509)))*('Monthly Log'!D$3:D$509))</f>
        <v/>
      </c>
      <c r="E8" s="116">
        <f>D8</f>
        <v/>
      </c>
      <c r="F8" s="118">
        <f>C8-E8</f>
        <v/>
      </c>
      <c r="G8" s="119">
        <f>IFERROR(E8/C8, 0)</f>
        <v/>
      </c>
    </row>
    <row r="9">
      <c r="A9" s="47" t="inlineStr"/>
      <c r="B9" s="47" t="inlineStr"/>
      <c r="C9" s="48" t="inlineStr"/>
      <c r="D9" s="48" t="inlineStr"/>
      <c r="E9" s="48" t="inlineStr"/>
      <c r="F9" s="48" t="inlineStr"/>
      <c r="G9" s="60" t="inlineStr"/>
    </row>
    <row r="10">
      <c r="A10" s="122" t="inlineStr"/>
      <c r="B10" s="122" t="inlineStr"/>
      <c r="C10" s="123" t="inlineStr"/>
      <c r="D10" s="123" t="inlineStr"/>
      <c r="E10" s="123" t="inlineStr"/>
      <c r="F10" s="123" t="inlineStr"/>
      <c r="G10" s="124" t="inlineStr"/>
    </row>
    <row r="11">
      <c r="A11" s="47" t="inlineStr"/>
      <c r="B11" s="47" t="inlineStr"/>
      <c r="C11" s="48" t="inlineStr"/>
      <c r="D11" s="48" t="inlineStr"/>
      <c r="E11" s="48" t="inlineStr"/>
      <c r="F11" s="48" t="inlineStr"/>
      <c r="G11" s="60" t="inlineStr"/>
    </row>
    <row r="12">
      <c r="A12" s="122" t="inlineStr"/>
      <c r="B12" s="122" t="inlineStr"/>
      <c r="C12" s="123" t="inlineStr"/>
      <c r="D12" s="123" t="inlineStr"/>
      <c r="E12" s="123" t="inlineStr"/>
      <c r="F12" s="123" t="inlineStr"/>
      <c r="G12" s="124" t="inlineStr"/>
    </row>
    <row r="13">
      <c r="A13" s="47" t="inlineStr"/>
      <c r="B13" s="47" t="inlineStr"/>
      <c r="C13" s="48" t="inlineStr"/>
      <c r="D13" s="48" t="inlineStr"/>
      <c r="E13" s="48" t="inlineStr"/>
      <c r="F13" s="48" t="inlineStr"/>
      <c r="G13" s="60" t="inlineStr"/>
    </row>
    <row r="14">
      <c r="A14" s="122" t="inlineStr"/>
      <c r="B14" s="122" t="inlineStr"/>
      <c r="C14" s="123" t="inlineStr"/>
      <c r="D14" s="123" t="inlineStr"/>
      <c r="E14" s="123" t="inlineStr"/>
      <c r="F14" s="123" t="inlineStr"/>
      <c r="G14" s="124" t="inlineStr"/>
    </row>
    <row r="15">
      <c r="A15" s="47" t="inlineStr"/>
      <c r="B15" s="47" t="inlineStr"/>
      <c r="C15" s="48" t="inlineStr"/>
      <c r="D15" s="48" t="inlineStr"/>
      <c r="E15" s="48" t="inlineStr"/>
      <c r="F15" s="48" t="inlineStr"/>
      <c r="G15" s="60" t="inlineStr"/>
    </row>
    <row r="16">
      <c r="A16" s="122" t="inlineStr"/>
      <c r="B16" s="122" t="inlineStr"/>
      <c r="C16" s="123" t="inlineStr"/>
      <c r="D16" s="123" t="inlineStr"/>
      <c r="E16" s="123" t="inlineStr"/>
      <c r="F16" s="123" t="inlineStr"/>
      <c r="G16" s="124" t="inlineStr"/>
    </row>
    <row r="17">
      <c r="A17" s="47" t="inlineStr"/>
      <c r="B17" s="47" t="inlineStr"/>
      <c r="C17" s="48" t="inlineStr"/>
      <c r="D17" s="48" t="inlineStr"/>
      <c r="E17" s="48" t="inlineStr"/>
      <c r="F17" s="48" t="inlineStr"/>
      <c r="G17" s="60" t="inlineStr"/>
    </row>
    <row r="18">
      <c r="A18" s="122" t="inlineStr"/>
      <c r="B18" s="122" t="inlineStr"/>
      <c r="C18" s="123" t="inlineStr"/>
      <c r="D18" s="123" t="inlineStr"/>
      <c r="E18" s="123" t="inlineStr"/>
      <c r="F18" s="123" t="inlineStr"/>
      <c r="G18" s="124" t="inlineStr"/>
    </row>
    <row r="19">
      <c r="A19" s="125" t="inlineStr"/>
      <c r="B19" s="126" t="inlineStr">
        <is>
          <t>TOTAL — SUBSCRIPTIONS</t>
        </is>
      </c>
      <c r="C19" s="127">
        <f>SUM(C4:C18)</f>
        <v/>
      </c>
      <c r="D19" s="127">
        <f>SUM(D4:D18)</f>
        <v/>
      </c>
      <c r="E19" s="127">
        <f>SUM(E4:E18)</f>
        <v/>
      </c>
      <c r="F19" s="127">
        <f>C19-E19</f>
        <v/>
      </c>
      <c r="G19" s="128">
        <f>IFERROR(E19/C19, 0)</f>
        <v/>
      </c>
    </row>
  </sheetData>
  <mergeCells count="2">
    <mergeCell ref="A2:G2"/>
    <mergeCell ref="A1:G1"/>
  </mergeCells>
  <pageMargins left="0.75" right="0.75" top="1" bottom="1" header="0.5" footer="0.5"/>
</worksheet>
</file>

<file path=xl/worksheets/sheet7.xml><?xml version="1.0" encoding="utf-8"?>
<worksheet xmlns="http://schemas.openxmlformats.org/spreadsheetml/2006/main">
  <sheetPr>
    <tabColor rgb="0000838F"/>
    <outlinePr summaryBelow="1" summaryRight="1"/>
    <pageSetUpPr/>
  </sheetPr>
  <dimension ref="A1:G18"/>
  <sheetViews>
    <sheetView workbookViewId="0">
      <pane ySplit="3" topLeftCell="A4" activePane="bottomLeft" state="frozen"/>
      <selection pane="bottomLeft" activeCell="A1" sqref="A1"/>
    </sheetView>
  </sheetViews>
  <sheetFormatPr baseColWidth="8" defaultRowHeight="15"/>
  <cols>
    <col width="4" customWidth="1" min="1" max="1"/>
    <col width="28" customWidth="1" min="2" max="2"/>
    <col width="16" customWidth="1" min="3" max="3"/>
    <col width="16" customWidth="1" min="4" max="4"/>
    <col width="16" customWidth="1" min="5" max="5"/>
    <col width="14" customWidth="1" min="6" max="6"/>
    <col width="14" customWidth="1" min="7" max="7"/>
  </cols>
  <sheetData>
    <row r="1" ht="42" customHeight="1">
      <c r="A1" s="129" t="inlineStr">
        <is>
          <t>SAVINGS</t>
        </is>
      </c>
      <c r="B1" s="130" t="n"/>
      <c r="C1" s="130" t="n"/>
      <c r="D1" s="130" t="n"/>
      <c r="E1" s="130" t="n"/>
      <c r="F1" s="130" t="n"/>
      <c r="G1" s="130" t="n"/>
    </row>
    <row r="2" ht="24" customHeight="1">
      <c r="A2" s="131" t="inlineStr">
        <is>
          <t>Savings goals &amp; transfers</t>
        </is>
      </c>
      <c r="B2" s="132" t="n"/>
      <c r="C2" s="132" t="n"/>
      <c r="D2" s="132" t="n"/>
      <c r="E2" s="132" t="n"/>
      <c r="F2" s="132" t="n"/>
      <c r="G2" s="132" t="n"/>
    </row>
    <row r="3" ht="32" customHeight="1">
      <c r="A3" s="133" t="inlineStr">
        <is>
          <t>#</t>
        </is>
      </c>
      <c r="B3" s="133" t="inlineStr">
        <is>
          <t>Item</t>
        </is>
      </c>
      <c r="C3" s="133" t="inlineStr">
        <is>
          <t>Budget (SEK)</t>
        </is>
      </c>
      <c r="D3" s="133" t="inlineStr">
        <is>
          <t>Spent from Log (SEK)</t>
        </is>
      </c>
      <c r="E3" s="133" t="inlineStr">
        <is>
          <t>Spent Total (SEK)</t>
        </is>
      </c>
      <c r="F3" s="133" t="inlineStr">
        <is>
          <t>Remaining (SEK)</t>
        </is>
      </c>
      <c r="G3" s="133" t="inlineStr">
        <is>
          <t>% Used</t>
        </is>
      </c>
    </row>
    <row r="4">
      <c r="A4" s="134" t="n">
        <v>1</v>
      </c>
      <c r="B4" s="135" t="inlineStr">
        <is>
          <t>Emergency fund</t>
        </is>
      </c>
      <c r="C4" s="136" t="n">
        <v>2000</v>
      </c>
      <c r="D4" s="137">
        <f>SUMPRODUCT(('Monthly Log'!B$3:B$509="Savings")*(ISNUMBER(SEARCH(B4,'Monthly Log'!C$3:C$509)))*('Monthly Log'!D$3:D$509))</f>
        <v/>
      </c>
      <c r="E4" s="136">
        <f>D4</f>
        <v/>
      </c>
      <c r="F4" s="138">
        <f>C4-E4</f>
        <v/>
      </c>
      <c r="G4" s="139">
        <f>IFERROR(E4/C4, 0)</f>
        <v/>
      </c>
    </row>
    <row r="5">
      <c r="A5" s="57" t="n">
        <v>2</v>
      </c>
      <c r="B5" s="58" t="inlineStr">
        <is>
          <t>Investment account</t>
        </is>
      </c>
      <c r="C5" s="59" t="n">
        <v>3000</v>
      </c>
      <c r="D5" s="79">
        <f>SUMPRODUCT(('Monthly Log'!B$3:B$509="Savings")*(ISNUMBER(SEARCH(B5,'Monthly Log'!C$3:C$509)))*('Monthly Log'!D$3:D$509))</f>
        <v/>
      </c>
      <c r="E5" s="59">
        <f>D5</f>
        <v/>
      </c>
      <c r="F5" s="140">
        <f>C5-E5</f>
        <v/>
      </c>
      <c r="G5" s="141">
        <f>IFERROR(E5/C5, 0)</f>
        <v/>
      </c>
    </row>
    <row r="6">
      <c r="A6" s="134" t="n">
        <v>3</v>
      </c>
      <c r="B6" s="135" t="inlineStr">
        <is>
          <t>Vacation fund</t>
        </is>
      </c>
      <c r="C6" s="136" t="n">
        <v>1000</v>
      </c>
      <c r="D6" s="137">
        <f>SUMPRODUCT(('Monthly Log'!B$3:B$509="Savings")*(ISNUMBER(SEARCH(B6,'Monthly Log'!C$3:C$509)))*('Monthly Log'!D$3:D$509))</f>
        <v/>
      </c>
      <c r="E6" s="136">
        <f>D6</f>
        <v/>
      </c>
      <c r="F6" s="138">
        <f>C6-E6</f>
        <v/>
      </c>
      <c r="G6" s="139">
        <f>IFERROR(E6/C6, 0)</f>
        <v/>
      </c>
    </row>
    <row r="7">
      <c r="A7" s="57" t="n">
        <v>4</v>
      </c>
      <c r="B7" s="58" t="inlineStr">
        <is>
          <t>Retirement (extra)</t>
        </is>
      </c>
      <c r="C7" s="59" t="n">
        <v>1500</v>
      </c>
      <c r="D7" s="79">
        <f>SUMPRODUCT(('Monthly Log'!B$3:B$509="Savings")*(ISNUMBER(SEARCH(B7,'Monthly Log'!C$3:C$509)))*('Monthly Log'!D$3:D$509))</f>
        <v/>
      </c>
      <c r="E7" s="59">
        <f>D7</f>
        <v/>
      </c>
      <c r="F7" s="140">
        <f>C7-E7</f>
        <v/>
      </c>
      <c r="G7" s="141">
        <f>IFERROR(E7/C7, 0)</f>
        <v/>
      </c>
    </row>
    <row r="8">
      <c r="A8" s="142" t="inlineStr"/>
      <c r="B8" s="142" t="inlineStr"/>
      <c r="C8" s="143" t="inlineStr"/>
      <c r="D8" s="143" t="inlineStr"/>
      <c r="E8" s="143" t="inlineStr"/>
      <c r="F8" s="143" t="inlineStr"/>
      <c r="G8" s="144" t="inlineStr"/>
    </row>
    <row r="9">
      <c r="A9" s="47" t="inlineStr"/>
      <c r="B9" s="47" t="inlineStr"/>
      <c r="C9" s="48" t="inlineStr"/>
      <c r="D9" s="48" t="inlineStr"/>
      <c r="E9" s="48" t="inlineStr"/>
      <c r="F9" s="48" t="inlineStr"/>
      <c r="G9" s="60" t="inlineStr"/>
    </row>
    <row r="10">
      <c r="A10" s="142" t="inlineStr"/>
      <c r="B10" s="142" t="inlineStr"/>
      <c r="C10" s="143" t="inlineStr"/>
      <c r="D10" s="143" t="inlineStr"/>
      <c r="E10" s="143" t="inlineStr"/>
      <c r="F10" s="143" t="inlineStr"/>
      <c r="G10" s="144" t="inlineStr"/>
    </row>
    <row r="11">
      <c r="A11" s="47" t="inlineStr"/>
      <c r="B11" s="47" t="inlineStr"/>
      <c r="C11" s="48" t="inlineStr"/>
      <c r="D11" s="48" t="inlineStr"/>
      <c r="E11" s="48" t="inlineStr"/>
      <c r="F11" s="48" t="inlineStr"/>
      <c r="G11" s="60" t="inlineStr"/>
    </row>
    <row r="12">
      <c r="A12" s="142" t="inlineStr"/>
      <c r="B12" s="142" t="inlineStr"/>
      <c r="C12" s="143" t="inlineStr"/>
      <c r="D12" s="143" t="inlineStr"/>
      <c r="E12" s="143" t="inlineStr"/>
      <c r="F12" s="143" t="inlineStr"/>
      <c r="G12" s="144" t="inlineStr"/>
    </row>
    <row r="13">
      <c r="A13" s="47" t="inlineStr"/>
      <c r="B13" s="47" t="inlineStr"/>
      <c r="C13" s="48" t="inlineStr"/>
      <c r="D13" s="48" t="inlineStr"/>
      <c r="E13" s="48" t="inlineStr"/>
      <c r="F13" s="48" t="inlineStr"/>
      <c r="G13" s="60" t="inlineStr"/>
    </row>
    <row r="14">
      <c r="A14" s="142" t="inlineStr"/>
      <c r="B14" s="142" t="inlineStr"/>
      <c r="C14" s="143" t="inlineStr"/>
      <c r="D14" s="143" t="inlineStr"/>
      <c r="E14" s="143" t="inlineStr"/>
      <c r="F14" s="143" t="inlineStr"/>
      <c r="G14" s="144" t="inlineStr"/>
    </row>
    <row r="15">
      <c r="A15" s="47" t="inlineStr"/>
      <c r="B15" s="47" t="inlineStr"/>
      <c r="C15" s="48" t="inlineStr"/>
      <c r="D15" s="48" t="inlineStr"/>
      <c r="E15" s="48" t="inlineStr"/>
      <c r="F15" s="48" t="inlineStr"/>
      <c r="G15" s="60" t="inlineStr"/>
    </row>
    <row r="16">
      <c r="A16" s="142" t="inlineStr"/>
      <c r="B16" s="142" t="inlineStr"/>
      <c r="C16" s="143" t="inlineStr"/>
      <c r="D16" s="143" t="inlineStr"/>
      <c r="E16" s="143" t="inlineStr"/>
      <c r="F16" s="143" t="inlineStr"/>
      <c r="G16" s="144" t="inlineStr"/>
    </row>
    <row r="17">
      <c r="A17" s="47" t="inlineStr"/>
      <c r="B17" s="47" t="inlineStr"/>
      <c r="C17" s="48" t="inlineStr"/>
      <c r="D17" s="48" t="inlineStr"/>
      <c r="E17" s="48" t="inlineStr"/>
      <c r="F17" s="48" t="inlineStr"/>
      <c r="G17" s="60" t="inlineStr"/>
    </row>
    <row r="18">
      <c r="A18" s="145" t="inlineStr"/>
      <c r="B18" s="146" t="inlineStr">
        <is>
          <t>TOTAL — SAVINGS</t>
        </is>
      </c>
      <c r="C18" s="147">
        <f>SUM(C4:C17)</f>
        <v/>
      </c>
      <c r="D18" s="147">
        <f>SUM(D4:D17)</f>
        <v/>
      </c>
      <c r="E18" s="147">
        <f>SUM(E4:E17)</f>
        <v/>
      </c>
      <c r="F18" s="147">
        <f>C18-E18</f>
        <v/>
      </c>
      <c r="G18" s="148">
        <f>IFERROR(E18/C18, 0)</f>
        <v/>
      </c>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tabColor rgb="00455A64"/>
    <outlinePr summaryBelow="1" summaryRight="1"/>
    <pageSetUpPr/>
  </sheetPr>
  <dimension ref="A1:G21"/>
  <sheetViews>
    <sheetView workbookViewId="0">
      <pane ySplit="3" topLeftCell="A4" activePane="bottomLeft" state="frozen"/>
      <selection pane="bottomLeft" activeCell="A1" sqref="A1"/>
    </sheetView>
  </sheetViews>
  <sheetFormatPr baseColWidth="8" defaultRowHeight="15"/>
  <cols>
    <col width="4" customWidth="1" min="1" max="1"/>
    <col width="28" customWidth="1" min="2" max="2"/>
    <col width="16" customWidth="1" min="3" max="3"/>
    <col width="16" customWidth="1" min="4" max="4"/>
    <col width="16" customWidth="1" min="5" max="5"/>
    <col width="14" customWidth="1" min="6" max="6"/>
    <col width="14" customWidth="1" min="7" max="7"/>
  </cols>
  <sheetData>
    <row r="1" ht="42" customHeight="1">
      <c r="A1" s="149" t="inlineStr">
        <is>
          <t>MISC.</t>
        </is>
      </c>
      <c r="B1" s="150" t="n"/>
      <c r="C1" s="150" t="n"/>
      <c r="D1" s="150" t="n"/>
      <c r="E1" s="150" t="n"/>
      <c r="F1" s="150" t="n"/>
      <c r="G1" s="150" t="n"/>
    </row>
    <row r="2" ht="24" customHeight="1">
      <c r="A2" s="151" t="inlineStr">
        <is>
          <t>Variable &amp; discretionary spending</t>
        </is>
      </c>
      <c r="B2" s="152" t="n"/>
      <c r="C2" s="152" t="n"/>
      <c r="D2" s="152" t="n"/>
      <c r="E2" s="152" t="n"/>
      <c r="F2" s="152" t="n"/>
      <c r="G2" s="152" t="n"/>
    </row>
    <row r="3" ht="32" customHeight="1">
      <c r="A3" s="153" t="inlineStr">
        <is>
          <t>#</t>
        </is>
      </c>
      <c r="B3" s="153" t="inlineStr">
        <is>
          <t>Item</t>
        </is>
      </c>
      <c r="C3" s="153" t="inlineStr">
        <is>
          <t>Budget (SEK)</t>
        </is>
      </c>
      <c r="D3" s="153" t="inlineStr">
        <is>
          <t>Spent from Log (SEK)</t>
        </is>
      </c>
      <c r="E3" s="153" t="inlineStr">
        <is>
          <t>Spent Total (SEK)</t>
        </is>
      </c>
      <c r="F3" s="153" t="inlineStr">
        <is>
          <t>Remaining (SEK)</t>
        </is>
      </c>
      <c r="G3" s="153" t="inlineStr">
        <is>
          <t>% Used</t>
        </is>
      </c>
    </row>
    <row r="4">
      <c r="A4" s="154" t="n">
        <v>1</v>
      </c>
      <c r="B4" s="155" t="inlineStr">
        <is>
          <t>Groceries</t>
        </is>
      </c>
      <c r="C4" s="156" t="n">
        <v>5000</v>
      </c>
      <c r="D4" s="157">
        <f>SUMPRODUCT(('Monthly Log'!B$3:B$509="Misc.")*(ISNUMBER(SEARCH(B4,'Monthly Log'!C$3:C$509)))*('Monthly Log'!D$3:D$509))</f>
        <v/>
      </c>
      <c r="E4" s="156">
        <f>D4</f>
        <v/>
      </c>
      <c r="F4" s="158">
        <f>C4-E4</f>
        <v/>
      </c>
      <c r="G4" s="159">
        <f>IFERROR(E4/C4, 0)</f>
        <v/>
      </c>
    </row>
    <row r="5">
      <c r="A5" s="57" t="n">
        <v>2</v>
      </c>
      <c r="B5" s="58" t="inlineStr">
        <is>
          <t>Going out meals</t>
        </is>
      </c>
      <c r="C5" s="59" t="n">
        <v>1000</v>
      </c>
      <c r="D5" s="79">
        <f>SUMPRODUCT(('Monthly Log'!B$3:B$509="Misc.")*(ISNUMBER(SEARCH(B5,'Monthly Log'!C$3:C$509)))*('Monthly Log'!D$3:D$509))</f>
        <v/>
      </c>
      <c r="E5" s="59">
        <f>D5</f>
        <v/>
      </c>
      <c r="F5" s="160">
        <f>C5-E5</f>
        <v/>
      </c>
      <c r="G5" s="161">
        <f>IFERROR(E5/C5, 0)</f>
        <v/>
      </c>
    </row>
    <row r="6">
      <c r="A6" s="154" t="n">
        <v>3</v>
      </c>
      <c r="B6" s="155" t="inlineStr">
        <is>
          <t>Transportation</t>
        </is>
      </c>
      <c r="C6" s="156" t="n">
        <v>1200</v>
      </c>
      <c r="D6" s="157">
        <f>SUMPRODUCT(('Monthly Log'!B$3:B$509="Misc.")*(ISNUMBER(SEARCH(B6,'Monthly Log'!C$3:C$509)))*('Monthly Log'!D$3:D$509))</f>
        <v/>
      </c>
      <c r="E6" s="156">
        <f>D6</f>
        <v/>
      </c>
      <c r="F6" s="158">
        <f>C6-E6</f>
        <v/>
      </c>
      <c r="G6" s="159">
        <f>IFERROR(E6/C6, 0)</f>
        <v/>
      </c>
    </row>
    <row r="7">
      <c r="A7" s="57" t="n">
        <v>4</v>
      </c>
      <c r="B7" s="58" t="inlineStr">
        <is>
          <t>Clothing</t>
        </is>
      </c>
      <c r="C7" s="59" t="n">
        <v>500</v>
      </c>
      <c r="D7" s="79">
        <f>SUMPRODUCT(('Monthly Log'!B$3:B$509="Misc.")*(ISNUMBER(SEARCH(B7,'Monthly Log'!C$3:C$509)))*('Monthly Log'!D$3:D$509))</f>
        <v/>
      </c>
      <c r="E7" s="59">
        <f>D7</f>
        <v/>
      </c>
      <c r="F7" s="160">
        <f>C7-E7</f>
        <v/>
      </c>
      <c r="G7" s="161">
        <f>IFERROR(E7/C7, 0)</f>
        <v/>
      </c>
    </row>
    <row r="8">
      <c r="A8" s="154" t="n">
        <v>5</v>
      </c>
      <c r="B8" s="155" t="inlineStr">
        <is>
          <t>Entertainment</t>
        </is>
      </c>
      <c r="C8" s="156" t="n">
        <v>500</v>
      </c>
      <c r="D8" s="157">
        <f>SUMPRODUCT(('Monthly Log'!B$3:B$509="Misc.")*(ISNUMBER(SEARCH(B8,'Monthly Log'!C$3:C$509)))*('Monthly Log'!D$3:D$509))</f>
        <v/>
      </c>
      <c r="E8" s="156">
        <f>D8</f>
        <v/>
      </c>
      <c r="F8" s="158">
        <f>C8-E8</f>
        <v/>
      </c>
      <c r="G8" s="159">
        <f>IFERROR(E8/C8, 0)</f>
        <v/>
      </c>
    </row>
    <row r="9">
      <c r="A9" s="57" t="n">
        <v>6</v>
      </c>
      <c r="B9" s="58" t="inlineStr">
        <is>
          <t>Personal care</t>
        </is>
      </c>
      <c r="C9" s="59" t="n">
        <v>300</v>
      </c>
      <c r="D9" s="79">
        <f>SUMPRODUCT(('Monthly Log'!B$3:B$509="Misc.")*(ISNUMBER(SEARCH(B9,'Monthly Log'!C$3:C$509)))*('Monthly Log'!D$3:D$509))</f>
        <v/>
      </c>
      <c r="E9" s="59">
        <f>D9</f>
        <v/>
      </c>
      <c r="F9" s="160">
        <f>C9-E9</f>
        <v/>
      </c>
      <c r="G9" s="161">
        <f>IFERROR(E9/C9, 0)</f>
        <v/>
      </c>
    </row>
    <row r="10">
      <c r="A10" s="154" t="n">
        <v>7</v>
      </c>
      <c r="B10" s="155" t="inlineStr">
        <is>
          <t>Gifts</t>
        </is>
      </c>
      <c r="C10" s="156" t="n">
        <v>300</v>
      </c>
      <c r="D10" s="157">
        <f>SUMPRODUCT(('Monthly Log'!B$3:B$509="Misc.")*(ISNUMBER(SEARCH(B10,'Monthly Log'!C$3:C$509)))*('Monthly Log'!D$3:D$509))</f>
        <v/>
      </c>
      <c r="E10" s="156">
        <f>D10</f>
        <v/>
      </c>
      <c r="F10" s="158">
        <f>C10-E10</f>
        <v/>
      </c>
      <c r="G10" s="159">
        <f>IFERROR(E10/C10, 0)</f>
        <v/>
      </c>
    </row>
    <row r="11">
      <c r="A11" s="47" t="inlineStr"/>
      <c r="B11" s="47" t="inlineStr"/>
      <c r="C11" s="48" t="inlineStr"/>
      <c r="D11" s="48" t="inlineStr"/>
      <c r="E11" s="48" t="inlineStr"/>
      <c r="F11" s="48" t="inlineStr"/>
      <c r="G11" s="60" t="inlineStr"/>
    </row>
    <row r="12">
      <c r="A12" s="162" t="inlineStr"/>
      <c r="B12" s="162" t="inlineStr"/>
      <c r="C12" s="163" t="inlineStr"/>
      <c r="D12" s="163" t="inlineStr"/>
      <c r="E12" s="163" t="inlineStr"/>
      <c r="F12" s="163" t="inlineStr"/>
      <c r="G12" s="164" t="inlineStr"/>
    </row>
    <row r="13">
      <c r="A13" s="47" t="inlineStr"/>
      <c r="B13" s="47" t="inlineStr"/>
      <c r="C13" s="48" t="inlineStr"/>
      <c r="D13" s="48" t="inlineStr"/>
      <c r="E13" s="48" t="inlineStr"/>
      <c r="F13" s="48" t="inlineStr"/>
      <c r="G13" s="60" t="inlineStr"/>
    </row>
    <row r="14">
      <c r="A14" s="162" t="inlineStr"/>
      <c r="B14" s="162" t="inlineStr"/>
      <c r="C14" s="163" t="inlineStr"/>
      <c r="D14" s="163" t="inlineStr"/>
      <c r="E14" s="163" t="inlineStr"/>
      <c r="F14" s="163" t="inlineStr"/>
      <c r="G14" s="164" t="inlineStr"/>
    </row>
    <row r="15">
      <c r="A15" s="47" t="inlineStr"/>
      <c r="B15" s="47" t="inlineStr"/>
      <c r="C15" s="48" t="inlineStr"/>
      <c r="D15" s="48" t="inlineStr"/>
      <c r="E15" s="48" t="inlineStr"/>
      <c r="F15" s="48" t="inlineStr"/>
      <c r="G15" s="60" t="inlineStr"/>
    </row>
    <row r="16">
      <c r="A16" s="162" t="inlineStr"/>
      <c r="B16" s="162" t="inlineStr"/>
      <c r="C16" s="163" t="inlineStr"/>
      <c r="D16" s="163" t="inlineStr"/>
      <c r="E16" s="163" t="inlineStr"/>
      <c r="F16" s="163" t="inlineStr"/>
      <c r="G16" s="164" t="inlineStr"/>
    </row>
    <row r="17">
      <c r="A17" s="47" t="inlineStr"/>
      <c r="B17" s="47" t="inlineStr"/>
      <c r="C17" s="48" t="inlineStr"/>
      <c r="D17" s="48" t="inlineStr"/>
      <c r="E17" s="48" t="inlineStr"/>
      <c r="F17" s="48" t="inlineStr"/>
      <c r="G17" s="60" t="inlineStr"/>
    </row>
    <row r="18">
      <c r="A18" s="162" t="inlineStr"/>
      <c r="B18" s="162" t="inlineStr"/>
      <c r="C18" s="163" t="inlineStr"/>
      <c r="D18" s="163" t="inlineStr"/>
      <c r="E18" s="163" t="inlineStr"/>
      <c r="F18" s="163" t="inlineStr"/>
      <c r="G18" s="164" t="inlineStr"/>
    </row>
    <row r="19">
      <c r="A19" s="47" t="inlineStr"/>
      <c r="B19" s="47" t="inlineStr"/>
      <c r="C19" s="48" t="inlineStr"/>
      <c r="D19" s="48" t="inlineStr"/>
      <c r="E19" s="48" t="inlineStr"/>
      <c r="F19" s="48" t="inlineStr"/>
      <c r="G19" s="60" t="inlineStr"/>
    </row>
    <row r="20">
      <c r="A20" s="162" t="inlineStr"/>
      <c r="B20" s="162" t="inlineStr"/>
      <c r="C20" s="163" t="inlineStr"/>
      <c r="D20" s="163" t="inlineStr"/>
      <c r="E20" s="163" t="inlineStr"/>
      <c r="F20" s="163" t="inlineStr"/>
      <c r="G20" s="164" t="inlineStr"/>
    </row>
    <row r="21">
      <c r="A21" s="165" t="inlineStr"/>
      <c r="B21" s="166" t="inlineStr">
        <is>
          <t>TOTAL — MISC.</t>
        </is>
      </c>
      <c r="C21" s="167">
        <f>SUM(C4:C20)</f>
        <v/>
      </c>
      <c r="D21" s="167">
        <f>SUM(D4:D20)</f>
        <v/>
      </c>
      <c r="E21" s="167">
        <f>SUM(E4:E20)</f>
        <v/>
      </c>
      <c r="F21" s="167">
        <f>C21-E21</f>
        <v/>
      </c>
      <c r="G21" s="168">
        <f>IFERROR(E21/C21, 0)</f>
        <v/>
      </c>
    </row>
  </sheetData>
  <mergeCells count="2">
    <mergeCell ref="A2:G2"/>
    <mergeCell ref="A1:G1"/>
  </mergeCells>
  <pageMargins left="0.75" right="0.75" top="1" bottom="1" header="0.5" footer="0.5"/>
</worksheet>
</file>

<file path=xl/worksheets/sheet9.xml><?xml version="1.0" encoding="utf-8"?>
<worksheet xmlns="http://schemas.openxmlformats.org/spreadsheetml/2006/main">
  <sheetPr>
    <tabColor rgb="00263238"/>
    <outlinePr summaryBelow="1" summaryRight="1"/>
    <pageSetUpPr/>
  </sheetPr>
  <dimension ref="A1:F29"/>
  <sheetViews>
    <sheetView workbookViewId="0">
      <pane ySplit="1" topLeftCell="A2" activePane="bottomLeft" state="frozen"/>
      <selection pane="bottomLeft" activeCell="A1" sqref="A1"/>
    </sheetView>
  </sheetViews>
  <sheetFormatPr baseColWidth="8" defaultRowHeight="15"/>
  <cols>
    <col width="4" customWidth="1" min="1" max="1"/>
    <col width="24" customWidth="1" min="2" max="2"/>
    <col width="18" customWidth="1" min="3" max="3"/>
    <col width="18" customWidth="1" min="4" max="4"/>
    <col width="18" customWidth="1" min="5" max="5"/>
    <col width="14" customWidth="1" min="6" max="6"/>
  </cols>
  <sheetData>
    <row r="1" ht="44" customHeight="1">
      <c r="A1" s="169" t="inlineStr">
        <is>
          <t>BUDGET SUMMARY</t>
        </is>
      </c>
      <c r="B1" s="170" t="n"/>
      <c r="C1" s="170" t="n"/>
      <c r="D1" s="170" t="n"/>
      <c r="E1" s="170" t="n"/>
      <c r="F1" s="170" t="n"/>
    </row>
    <row r="2">
      <c r="A2" s="4" t="n"/>
      <c r="B2" s="4" t="n"/>
      <c r="C2" s="4" t="n"/>
      <c r="D2" s="4" t="n"/>
      <c r="E2" s="4" t="n"/>
      <c r="F2" s="4" t="n"/>
    </row>
    <row r="3">
      <c r="A3" s="171" t="n"/>
      <c r="B3" s="172" t="inlineStr">
        <is>
          <t>Total Monthly Income</t>
        </is>
      </c>
      <c r="C3" s="173">
        <f>'Income'!D17</f>
        <v/>
      </c>
      <c r="D3" s="171" t="n"/>
      <c r="E3" s="171" t="n"/>
      <c r="F3" s="171" t="n"/>
    </row>
    <row r="4">
      <c r="A4" s="4" t="n"/>
      <c r="B4" s="4" t="n"/>
      <c r="C4" s="4" t="n"/>
      <c r="D4" s="4" t="n"/>
      <c r="E4" s="4" t="n"/>
      <c r="F4" s="4" t="n"/>
    </row>
    <row r="5">
      <c r="A5" s="174" t="n"/>
      <c r="B5" s="175" t="inlineStr">
        <is>
          <t>Total Budgeted Expenses</t>
        </is>
      </c>
      <c r="C5" s="176">
        <f>'House Loan'!C20+'Insurances'!C18+'Subscriptions'!C19+'Savings'!C18+'Misc.'!C21</f>
        <v/>
      </c>
      <c r="D5" s="174" t="n"/>
      <c r="E5" s="174" t="n"/>
      <c r="F5" s="174" t="n"/>
    </row>
    <row r="6">
      <c r="A6" s="177" t="n"/>
      <c r="B6" s="177" t="n"/>
      <c r="C6" s="177" t="n"/>
      <c r="D6" s="177" t="n"/>
      <c r="E6" s="177" t="n"/>
      <c r="F6" s="177" t="n"/>
    </row>
    <row r="7">
      <c r="A7" s="178" t="n"/>
      <c r="B7" s="179" t="inlineStr">
        <is>
          <t>Total Spent (Actual)</t>
        </is>
      </c>
      <c r="C7" s="180">
        <f>'House Loan'!E20+'Insurances'!E18+'Subscriptions'!E19+'Savings'!E18+'Misc.'!E21</f>
        <v/>
      </c>
      <c r="D7" s="178" t="n"/>
      <c r="E7" s="178" t="n"/>
      <c r="F7" s="178" t="n"/>
    </row>
    <row r="8">
      <c r="A8" s="177" t="n"/>
      <c r="B8" s="177" t="n"/>
      <c r="C8" s="177" t="n"/>
      <c r="D8" s="177" t="n"/>
      <c r="E8" s="177" t="n"/>
      <c r="F8" s="177" t="n"/>
    </row>
    <row r="9">
      <c r="A9" s="10" t="n"/>
      <c r="B9" s="181" t="inlineStr">
        <is>
          <t>Remaining (Income − Spent)</t>
        </is>
      </c>
      <c r="C9" s="182">
        <f>C3-C7</f>
        <v/>
      </c>
      <c r="D9" s="10" t="n"/>
      <c r="E9" s="10" t="n"/>
      <c r="F9" s="10" t="n"/>
    </row>
    <row r="10">
      <c r="A10" s="177" t="n"/>
      <c r="B10" s="177" t="n"/>
      <c r="C10" s="177" t="n"/>
      <c r="D10" s="177" t="n"/>
      <c r="E10" s="177" t="n"/>
      <c r="F10" s="177" t="n"/>
    </row>
    <row r="11" ht="28" customHeight="1">
      <c r="A11" s="183" t="n"/>
      <c r="B11" s="34" t="inlineStr">
        <is>
          <t>Category</t>
        </is>
      </c>
      <c r="C11" s="34" t="inlineStr">
        <is>
          <t>Budgeted</t>
        </is>
      </c>
      <c r="D11" s="34" t="inlineStr">
        <is>
          <t>Spent</t>
        </is>
      </c>
      <c r="E11" s="34" t="inlineStr">
        <is>
          <t>Remaining</t>
        </is>
      </c>
      <c r="F11" s="34" t="inlineStr">
        <is>
          <t>% Used</t>
        </is>
      </c>
    </row>
    <row r="12" ht="26" customHeight="1">
      <c r="A12" s="82" t="inlineStr"/>
      <c r="B12" s="184" t="inlineStr">
        <is>
          <t>House Loan</t>
        </is>
      </c>
      <c r="C12" s="185">
        <f>'House Loan'!C20</f>
        <v/>
      </c>
      <c r="D12" s="185">
        <f>'House Loan'!E20</f>
        <v/>
      </c>
      <c r="E12" s="186">
        <f>C12-D12</f>
        <v/>
      </c>
      <c r="F12" s="187">
        <f>IFERROR(D12/C12, 0)</f>
        <v/>
      </c>
    </row>
    <row r="13">
      <c r="A13" s="177" t="n"/>
      <c r="B13" s="177" t="n"/>
      <c r="C13" s="177" t="n"/>
      <c r="D13" s="177" t="n"/>
      <c r="E13" s="177" t="n"/>
      <c r="F13" s="177" t="n"/>
    </row>
    <row r="14" ht="26" customHeight="1">
      <c r="A14" s="102" t="inlineStr"/>
      <c r="B14" s="188" t="inlineStr">
        <is>
          <t>Insurances</t>
        </is>
      </c>
      <c r="C14" s="189">
        <f>'Insurances'!C18</f>
        <v/>
      </c>
      <c r="D14" s="189">
        <f>'Insurances'!E18</f>
        <v/>
      </c>
      <c r="E14" s="190">
        <f>C14-D14</f>
        <v/>
      </c>
      <c r="F14" s="191">
        <f>IFERROR(D14/C14, 0)</f>
        <v/>
      </c>
    </row>
    <row r="15">
      <c r="A15" s="177" t="n"/>
      <c r="B15" s="177" t="n"/>
      <c r="C15" s="177" t="n"/>
      <c r="D15" s="177" t="n"/>
      <c r="E15" s="177" t="n"/>
      <c r="F15" s="177" t="n"/>
    </row>
    <row r="16" ht="26" customHeight="1">
      <c r="A16" s="122" t="inlineStr"/>
      <c r="B16" s="192" t="inlineStr">
        <is>
          <t>Subscriptions</t>
        </is>
      </c>
      <c r="C16" s="193">
        <f>'Subscriptions'!C19</f>
        <v/>
      </c>
      <c r="D16" s="193">
        <f>'Subscriptions'!E19</f>
        <v/>
      </c>
      <c r="E16" s="194">
        <f>C16-D16</f>
        <v/>
      </c>
      <c r="F16" s="195">
        <f>IFERROR(D16/C16, 0)</f>
        <v/>
      </c>
    </row>
    <row r="17">
      <c r="A17" s="177" t="n"/>
      <c r="B17" s="177" t="n"/>
      <c r="C17" s="177" t="n"/>
      <c r="D17" s="177" t="n"/>
      <c r="E17" s="177" t="n"/>
      <c r="F17" s="177" t="n"/>
    </row>
    <row r="18" ht="26" customHeight="1">
      <c r="A18" s="142" t="inlineStr"/>
      <c r="B18" s="196" t="inlineStr">
        <is>
          <t>Savings</t>
        </is>
      </c>
      <c r="C18" s="197">
        <f>'Savings'!C18</f>
        <v/>
      </c>
      <c r="D18" s="197">
        <f>'Savings'!E18</f>
        <v/>
      </c>
      <c r="E18" s="198">
        <f>C18-D18</f>
        <v/>
      </c>
      <c r="F18" s="199">
        <f>IFERROR(D18/C18, 0)</f>
        <v/>
      </c>
    </row>
    <row r="19">
      <c r="A19" s="177" t="n"/>
      <c r="B19" s="177" t="n"/>
      <c r="C19" s="177" t="n"/>
      <c r="D19" s="177" t="n"/>
      <c r="E19" s="177" t="n"/>
      <c r="F19" s="177" t="n"/>
    </row>
    <row r="20" ht="26" customHeight="1">
      <c r="A20" s="162" t="inlineStr"/>
      <c r="B20" s="200" t="inlineStr">
        <is>
          <t>Misc.</t>
        </is>
      </c>
      <c r="C20" s="201">
        <f>'Misc.'!C21</f>
        <v/>
      </c>
      <c r="D20" s="201">
        <f>'Misc.'!E21</f>
        <v/>
      </c>
      <c r="E20" s="202">
        <f>C20-D20</f>
        <v/>
      </c>
      <c r="F20" s="203">
        <f>IFERROR(D20/C20, 0)</f>
        <v/>
      </c>
    </row>
    <row r="21">
      <c r="A21" s="177" t="n"/>
      <c r="B21" s="177" t="n"/>
      <c r="C21" s="177" t="n"/>
      <c r="D21" s="177" t="n"/>
      <c r="E21" s="177" t="n"/>
      <c r="F21" s="177" t="n"/>
    </row>
    <row r="24">
      <c r="B24" s="204" t="inlineStr">
        <is>
          <t>Category</t>
        </is>
      </c>
      <c r="C24" s="204" t="inlineStr">
        <is>
          <t>Budgeted</t>
        </is>
      </c>
      <c r="D24" s="204" t="inlineStr">
        <is>
          <t>Spent</t>
        </is>
      </c>
    </row>
    <row r="25">
      <c r="B25" s="205" t="inlineStr">
        <is>
          <t>House Loan</t>
        </is>
      </c>
      <c r="C25" s="14">
        <f>C12</f>
        <v/>
      </c>
      <c r="D25" s="14">
        <f>D12</f>
        <v/>
      </c>
    </row>
    <row r="26">
      <c r="B26" s="205" t="inlineStr">
        <is>
          <t>Insurances</t>
        </is>
      </c>
      <c r="C26" s="14">
        <f>C14</f>
        <v/>
      </c>
      <c r="D26" s="14">
        <f>D14</f>
        <v/>
      </c>
    </row>
    <row r="27">
      <c r="B27" s="205" t="inlineStr">
        <is>
          <t>Subscriptions</t>
        </is>
      </c>
      <c r="C27" s="14">
        <f>C16</f>
        <v/>
      </c>
      <c r="D27" s="14">
        <f>D16</f>
        <v/>
      </c>
    </row>
    <row r="28">
      <c r="B28" s="205" t="inlineStr">
        <is>
          <t>Savings</t>
        </is>
      </c>
      <c r="C28" s="14">
        <f>C18</f>
        <v/>
      </c>
      <c r="D28" s="14">
        <f>D18</f>
        <v/>
      </c>
    </row>
    <row r="29">
      <c r="B29" s="205" t="inlineStr">
        <is>
          <t>Misc.</t>
        </is>
      </c>
      <c r="C29" s="14">
        <f>C20</f>
        <v/>
      </c>
      <c r="D29" s="14">
        <f>D20</f>
        <v/>
      </c>
    </row>
  </sheetData>
  <mergeCells count="1">
    <mergeCell ref="A1:F1"/>
  </mergeCells>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tabColor rgb="00FFAB00"/>
    <outlinePr summaryBelow="1" summaryRight="1"/>
    <pageSetUpPr/>
  </sheetPr>
  <dimension ref="A1:B25"/>
  <sheetViews>
    <sheetView workbookViewId="0">
      <selection activeCell="A1" sqref="A1"/>
    </sheetView>
  </sheetViews>
  <sheetFormatPr baseColWidth="8" defaultRowHeight="15"/>
  <cols>
    <col width="4" customWidth="1" min="1" max="1"/>
    <col width="80" customWidth="1" min="2" max="2"/>
  </cols>
  <sheetData>
    <row r="1" ht="42" customHeight="1">
      <c r="A1" s="206" t="inlineStr">
        <is>
          <t>HOW TO USE THIS BUDGET TRACKER</t>
        </is>
      </c>
      <c r="B1" s="207" t="n"/>
    </row>
    <row r="3" ht="24" customHeight="1">
      <c r="A3" s="208" t="inlineStr"/>
      <c r="B3" s="209" t="inlineStr">
        <is>
          <t>1. Record transactions</t>
        </is>
      </c>
    </row>
    <row r="4" ht="50" customHeight="1">
      <c r="A4" s="210" t="inlineStr"/>
      <c r="B4" s="211" t="inlineStr">
        <is>
          <t>Go to the 'Monthly Log' sheet. Enter the date, select a category from the dropdown, type the item name (include the budget item keyword, e.g. 'Going out meals – lunch'), enter the amount in SEK, and optionally add a note.</t>
        </is>
      </c>
    </row>
    <row r="6" ht="24" customHeight="1">
      <c r="A6" s="208" t="inlineStr"/>
      <c r="B6" s="209" t="inlineStr">
        <is>
          <t>2. Automatic aggregation</t>
        </is>
      </c>
    </row>
    <row r="7" ht="50" customHeight="1">
      <c r="A7" s="210" t="inlineStr"/>
      <c r="B7" s="211" t="inlineStr">
        <is>
          <t>Each category sheet (House Loan, Insurances, etc.) uses SUMPRODUCT formulas to automatically pull spending from the Monthly Log. The 'Spent from Log' column searches for the item name in your transaction descriptions.</t>
        </is>
      </c>
    </row>
    <row r="9" ht="24" customHeight="1">
      <c r="A9" s="208" t="inlineStr"/>
      <c r="B9" s="209" t="inlineStr">
        <is>
          <t>3. Dashboard charts</t>
        </is>
      </c>
    </row>
    <row r="10" ht="50" customHeight="1">
      <c r="A10" s="210" t="inlineStr"/>
      <c r="B10" s="211" t="inlineStr">
        <is>
          <t>The Dashboard shows donut charts for each category. As you spend, the 'Spent' segment fills up — like a loading wheel. Green = under budget, filling up = caution.</t>
        </is>
      </c>
    </row>
    <row r="12" ht="24" customHeight="1">
      <c r="A12" s="208" t="inlineStr"/>
      <c r="B12" s="209" t="inlineStr">
        <is>
          <t>4. Summary overview</t>
        </is>
      </c>
    </row>
    <row r="13" ht="50" customHeight="1">
      <c r="A13" s="210" t="inlineStr"/>
      <c r="B13" s="211" t="inlineStr">
        <is>
          <t>The Summary sheet shows total income vs total expenses, with a bar chart comparison. The 'Remaining' value shows how much of your income is unallocated after spending.</t>
        </is>
      </c>
    </row>
    <row r="15" ht="24" customHeight="1">
      <c r="A15" s="208" t="inlineStr"/>
      <c r="B15" s="209" t="inlineStr">
        <is>
          <t>5. Adding new budget items</t>
        </is>
      </c>
    </row>
    <row r="16" ht="50" customHeight="1">
      <c r="A16" s="210" t="inlineStr"/>
      <c r="B16" s="211" t="inlineStr">
        <is>
          <t>Each category sheet has 10 blank rows below the pre-filled items. Simply type a new item name and budget amount. The formulas will extend automatically. Then use the same item name keyword when logging transactions.</t>
        </is>
      </c>
    </row>
    <row r="18" ht="24" customHeight="1">
      <c r="A18" s="208" t="inlineStr"/>
      <c r="B18" s="209" t="inlineStr">
        <is>
          <t>6. Adjusting budgets</t>
        </is>
      </c>
    </row>
    <row r="19" ht="50" customHeight="1">
      <c r="A19" s="210" t="inlineStr"/>
      <c r="B19" s="211" t="inlineStr">
        <is>
          <t>Change any budget amount in column C of any category sheet. All totals and charts update automatically via formulas.</t>
        </is>
      </c>
    </row>
    <row r="21" ht="24" customHeight="1">
      <c r="A21" s="208" t="inlineStr"/>
      <c r="B21" s="209" t="inlineStr">
        <is>
          <t>7. Income tracking</t>
        </is>
      </c>
    </row>
    <row r="22" ht="50" customHeight="1">
      <c r="A22" s="210" t="inlineStr"/>
      <c r="B22" s="211" t="inlineStr">
        <is>
          <t>Update the Income sheet with your actual income received. The 'Actual' column defaults to the budgeted amount — change it when your actual income differs.</t>
        </is>
      </c>
    </row>
    <row r="24" ht="24" customHeight="1">
      <c r="A24" s="208" t="inlineStr"/>
      <c r="B24" s="209" t="inlineStr">
        <is>
          <t>8. Google Sheets import</t>
        </is>
      </c>
    </row>
    <row r="25" ht="50" customHeight="1">
      <c r="A25" s="210" t="inlineStr"/>
      <c r="B25" s="211" t="inlineStr">
        <is>
          <t>Upload this .xlsx file to Google Drive, then open with Google Sheets. All formulas, charts, and formatting are compatible.</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2026-03-16T11:49:00Z</dcterms:created>
  <dcterms:modified xsi:type="dcterms:W3CDTF">2026-03-16T11:49:00Z</dcterms:modified>
</cp:coreProperties>
</file>