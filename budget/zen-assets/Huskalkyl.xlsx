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ån Översikt" sheetId="1" r:id="rId5"/>
    <sheet state="visible" name="Data" sheetId="2" r:id="rId6"/>
    <sheet state="visible" name="Räntekalkylator" sheetId="3" r:id="rId7"/>
    <sheet state="visible" name="Verisure kodord " sheetId="4" r:id="rId8"/>
    <sheet state="visible" name="Inför flytt " sheetId="5" r:id="rId9"/>
    <sheet state="visible" name="Överföringar" sheetId="6" r:id="rId10"/>
    <sheet state="visible" name="Majas utgifter" sheetId="7" r:id="rId11"/>
    <sheet state="visible" name="Markus utgifter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tc={06f94cf2-d407-4249-9f28-1df09e43b25f}</author>
  </authors>
  <commentList>
    <comment authorId="0" xr:uid="{06f94cf2-d407-4249-9f28-1df09e43b25f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Inkluderar utgifter från ICA-kortet förutom EL, parkering och hyra. Det är inräknat i husprisets driftkostnad.
</t>
      </text>
    </comment>
  </commentList>
</comments>
</file>

<file path=xl/sharedStrings.xml><?xml version="1.0" encoding="utf-8"?>
<sst xmlns="http://schemas.openxmlformats.org/spreadsheetml/2006/main" count="269" uniqueCount="192">
  <si>
    <t>Input parametrar</t>
  </si>
  <si>
    <t>Månad</t>
  </si>
  <si>
    <t>Huslån (kr)</t>
  </si>
  <si>
    <t>Listränta (kr/mån)</t>
  </si>
  <si>
    <t>Drift+fastighet (kr/mån)</t>
  </si>
  <si>
    <t>Ammortering (kr/mån)</t>
  </si>
  <si>
    <t>Renovering (kr/mån)</t>
  </si>
  <si>
    <t>Totalt hus (kr/mån)</t>
  </si>
  <si>
    <t>Totalt ut (kr/mån)</t>
  </si>
  <si>
    <t>Totalt kvar (kr/mån)</t>
  </si>
  <si>
    <t>Huspris</t>
  </si>
  <si>
    <t>JA</t>
  </si>
  <si>
    <t>Huslån</t>
  </si>
  <si>
    <t>Kontantinsats</t>
  </si>
  <si>
    <t>Listränta (%)</t>
  </si>
  <si>
    <t>Inflation</t>
  </si>
  <si>
    <t>NEJ</t>
  </si>
  <si>
    <t>Driftkostnad</t>
  </si>
  <si>
    <t>Fastighetsavgift</t>
  </si>
  <si>
    <t>Skattereduktion</t>
  </si>
  <si>
    <t>Bolån</t>
  </si>
  <si>
    <t>Lagfart</t>
  </si>
  <si>
    <t>Renovering (%)</t>
  </si>
  <si>
    <t>Ammortering (%)</t>
  </si>
  <si>
    <t>Reduktionsgräns</t>
  </si>
  <si>
    <t>Pantbrev</t>
  </si>
  <si>
    <t>Ammort. Reduktion</t>
  </si>
  <si>
    <t>Lantmäteriavgift</t>
  </si>
  <si>
    <t>Pengar in</t>
  </si>
  <si>
    <t>Inkomst (efter skatt)</t>
  </si>
  <si>
    <t>Föräldrarledig</t>
  </si>
  <si>
    <t>Markus</t>
  </si>
  <si>
    <t>Maja</t>
  </si>
  <si>
    <t>Totalt:</t>
  </si>
  <si>
    <t>Utgifter exkl. hyra</t>
  </si>
  <si>
    <t>Belopp</t>
  </si>
  <si>
    <t>Mat/hushåll.</t>
  </si>
  <si>
    <t>Internet</t>
  </si>
  <si>
    <t>Bilförsäkring</t>
  </si>
  <si>
    <t>Milas försäkring</t>
  </si>
  <si>
    <t>Villaförsäkring</t>
  </si>
  <si>
    <t>Guccis försäkring</t>
  </si>
  <si>
    <t>Kortavgift</t>
  </si>
  <si>
    <t>CSN</t>
  </si>
  <si>
    <t>Spotify</t>
  </si>
  <si>
    <t>Youtube</t>
  </si>
  <si>
    <t>Gym</t>
  </si>
  <si>
    <t>Sparande Mila</t>
  </si>
  <si>
    <t>Sparande Bröllop</t>
  </si>
  <si>
    <t>Billån Maja</t>
  </si>
  <si>
    <t>Abonnemang</t>
  </si>
  <si>
    <t>Totalt engångs köp:</t>
  </si>
  <si>
    <t>Mobil</t>
  </si>
  <si>
    <t>Totalt förlorat under FL:</t>
  </si>
  <si>
    <t>Glasögon</t>
  </si>
  <si>
    <t>Total buffert efter köp:</t>
  </si>
  <si>
    <t>Bankkort</t>
  </si>
  <si>
    <t>Föräkring Maja</t>
  </si>
  <si>
    <t>Försäkring Markus</t>
  </si>
  <si>
    <t>Bilutlägg</t>
  </si>
  <si>
    <t>Sparande Markus</t>
  </si>
  <si>
    <t>Sparande Maja</t>
  </si>
  <si>
    <t>Huskonto</t>
  </si>
  <si>
    <t>Dagisavgift</t>
  </si>
  <si>
    <t>Bredband/Telefon</t>
  </si>
  <si>
    <t>Check 1</t>
  </si>
  <si>
    <t>Check 2</t>
  </si>
  <si>
    <t>Check 3</t>
  </si>
  <si>
    <t>Deta upp lån och räkna ut ränta</t>
  </si>
  <si>
    <t>Nordea</t>
  </si>
  <si>
    <t>Listränta</t>
  </si>
  <si>
    <t>Rabatt</t>
  </si>
  <si>
    <t>Slutränta</t>
  </si>
  <si>
    <t>Antal låndelar</t>
  </si>
  <si>
    <t>Ränta rörlig 3 mån (%)</t>
  </si>
  <si>
    <t>Ränta 1 år (%)</t>
  </si>
  <si>
    <t>Antal rörlig</t>
  </si>
  <si>
    <t>Ränta 2 år (%)</t>
  </si>
  <si>
    <t>Antal 1 år</t>
  </si>
  <si>
    <t>Ränta 5 år (%)</t>
  </si>
  <si>
    <t>Antal 2 år</t>
  </si>
  <si>
    <t>Antal 5 år</t>
  </si>
  <si>
    <t>Kombination Räntor</t>
  </si>
  <si>
    <t>Pris/Mån (inkl. skattereduktion)</t>
  </si>
  <si>
    <t>Pris/Mån (exkl. skattereduktion)</t>
  </si>
  <si>
    <t>Medelvärde (%)</t>
  </si>
  <si>
    <t>4x 1år</t>
  </si>
  <si>
    <t>1x rörligt + 3x 1år</t>
  </si>
  <si>
    <t>1x Rörligt + 2x 1 år</t>
  </si>
  <si>
    <t>2x Rörligt + 1x 1år</t>
  </si>
  <si>
    <t>1x Rörligt + 1 1år + 1 2år</t>
  </si>
  <si>
    <t>1x Rörligt + 3x 2år</t>
  </si>
  <si>
    <t>2x Rörligt + 2x 1år</t>
  </si>
  <si>
    <t>1x Rörligt + 2x 2år</t>
  </si>
  <si>
    <t>2x rörligt + 2x 2år</t>
  </si>
  <si>
    <t xml:space="preserve">Verisure: </t>
  </si>
  <si>
    <t xml:space="preserve">Gymnastik </t>
  </si>
  <si>
    <t xml:space="preserve">Nederländarna </t>
  </si>
  <si>
    <t xml:space="preserve">Att köpa inför flytt: </t>
  </si>
  <si>
    <t xml:space="preserve">Länk: </t>
  </si>
  <si>
    <t>Ved</t>
  </si>
  <si>
    <t>https://www.jula.se/catalog/bygg-och-farg/varme-och-ventilation/kaminer-och-oppna-spisar/fasta-branslen/ved-023627/</t>
  </si>
  <si>
    <t xml:space="preserve">Grindar </t>
  </si>
  <si>
    <t>https://www.babyworld.se/sv/varumarken/babydan/babydan-liva-multidan-grind-metall-vit?gad_source=1&amp;gbraid=0AAAAADMjSNFdICtHsu0mz_a79jwqRTFEL&amp;gclid=CjwKCAiA9IC6BhA3EiwAsbltOL5JBsbom1jATHu2oG82MeXIAO7L4lU_c4FUCWUxS5TLCpXaJvvcvBoCxGEQAvD_BwE&amp;gclsrc=aw.ds</t>
  </si>
  <si>
    <t xml:space="preserve">Lampor </t>
  </si>
  <si>
    <t>Stege</t>
  </si>
  <si>
    <t xml:space="preserve">Säkringar </t>
  </si>
  <si>
    <t>Mattor</t>
  </si>
  <si>
    <t>Förvaringslådor inne</t>
  </si>
  <si>
    <t xml:space="preserve">Förvaring garage </t>
  </si>
  <si>
    <t xml:space="preserve">Krokar </t>
  </si>
  <si>
    <t xml:space="preserve">Robotdammsugare </t>
  </si>
  <si>
    <t xml:space="preserve">Robotgräsklippare </t>
  </si>
  <si>
    <t>Snöskyffel</t>
  </si>
  <si>
    <t xml:space="preserve">Skruvar/muttrar </t>
  </si>
  <si>
    <t>Förvaring kök</t>
  </si>
  <si>
    <t xml:space="preserve">Såg </t>
  </si>
  <si>
    <t>Sladdlister</t>
  </si>
  <si>
    <t>Grill</t>
  </si>
  <si>
    <t xml:space="preserve">Gasolvärmare altan </t>
  </si>
  <si>
    <t xml:space="preserve">Lampknappar </t>
  </si>
  <si>
    <t>https://www.bauhaus.se/strombrytare-tem-10ax-kron-svart?gad_source=1&amp;gbraid=0AAAAADxd_kzzYOS-uzo1bvf1izxK94CGj&amp;gclid=CjwKCAiApsm7BhBZEiwAvIu2X9P-Rx2l3jCP3J0qz-pevrEwvlnyqJYr-V_WvHywmPnFHW9K3Tl13hoCyNAQAvD_BwE</t>
  </si>
  <si>
    <t xml:space="preserve">Dörr till sovrum uppe </t>
  </si>
  <si>
    <t>https://www.byggmax.se/innerdörr-villa-210#1233=107492</t>
  </si>
  <si>
    <t xml:space="preserve">Vägguttag </t>
  </si>
  <si>
    <t>https://www.byggmax.se/vägguttag-optima-2-vägs-malmbergs-p6334075?gad_source=1&amp;gbraid=0AAAAAD8WC3H9OI-2S8rEDdG5s8lv4oRbi&amp;gclid=CjwKCAiApsm7BhBZEiwAvIu2X_C7inXz_KJFV5Dmd6FhjH4_9UOyTjzeUlOrknvRBeyHll2SsFNqDBoC_KIQAvD_BwE#913=78207</t>
  </si>
  <si>
    <t xml:space="preserve">Blandare badrum </t>
  </si>
  <si>
    <t xml:space="preserve">Tvåsitssoffa hall uppe </t>
  </si>
  <si>
    <t>https://www.ikea.com/se/sv/p/lillehem-2-sitsig-modulsoffa-vissle-beige-metall-s19471279/</t>
  </si>
  <si>
    <t xml:space="preserve">Nya köksredskap (slevar etc.) </t>
  </si>
  <si>
    <t xml:space="preserve">Bra skärbräda i trä </t>
  </si>
  <si>
    <t xml:space="preserve">Minst en bra kniv </t>
  </si>
  <si>
    <t xml:space="preserve">Knivslip </t>
  </si>
  <si>
    <t xml:space="preserve">Nya saxar </t>
  </si>
  <si>
    <t>Dörrar övervåning</t>
  </si>
  <si>
    <t>Garderobsdörrar</t>
  </si>
  <si>
    <t xml:space="preserve">Matbord kök (runt) </t>
  </si>
  <si>
    <t>Matbord matsal</t>
  </si>
  <si>
    <t>Puffar ovanvåning</t>
  </si>
  <si>
    <t>TV</t>
  </si>
  <si>
    <t xml:space="preserve">Stekpanna rostfritt stål </t>
  </si>
  <si>
    <t xml:space="preserve">Elvisp </t>
  </si>
  <si>
    <t xml:space="preserve">Tv bänk </t>
  </si>
  <si>
    <t>År</t>
  </si>
  <si>
    <t>Husutgifter</t>
  </si>
  <si>
    <t>Ica-kort</t>
  </si>
  <si>
    <t>Markus nettolön</t>
  </si>
  <si>
    <t>Majas Nettolön</t>
  </si>
  <si>
    <t>Netto total</t>
  </si>
  <si>
    <t>Maja Andel</t>
  </si>
  <si>
    <t>Markus Andel</t>
  </si>
  <si>
    <t>Huskonto Maja</t>
  </si>
  <si>
    <t>Ica-kort Maja</t>
  </si>
  <si>
    <t>Huskonto Markus</t>
  </si>
  <si>
    <t>Ica-kort Markus</t>
  </si>
  <si>
    <t>Total Huskonto</t>
  </si>
  <si>
    <t>Total Ica-kort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</si>
  <si>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</si>
  <si>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</si>
  <si>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</si>
  <si>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</si>
  <si>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</si>
  <si>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</si>
  <si>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</si>
  <si>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</si>
  <si>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</si>
  <si>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>Januari</t>
  </si>
  <si>
    <t>Februari</t>
  </si>
  <si>
    <t>Mars</t>
  </si>
  <si>
    <t>Utgifter</t>
  </si>
  <si>
    <t>Summa</t>
  </si>
  <si>
    <t>Mobilabonnemang</t>
  </si>
  <si>
    <t>Kund hos Nordea</t>
  </si>
  <si>
    <t>ICA-kortet</t>
  </si>
  <si>
    <t>Huskontot</t>
  </si>
  <si>
    <t>Olyckfallsförsäkring</t>
  </si>
  <si>
    <t>Sparande Lysa</t>
  </si>
  <si>
    <t>Sparande Avanza</t>
  </si>
  <si>
    <t xml:space="preserve">Sparande Mila </t>
  </si>
  <si>
    <t>Sparande Pension</t>
  </si>
  <si>
    <t xml:space="preserve">Inkomst </t>
  </si>
  <si>
    <t>Meltwater</t>
  </si>
  <si>
    <t>Aktiv Ungdom</t>
  </si>
  <si>
    <t>Förskolan</t>
  </si>
  <si>
    <t>Inkomst</t>
  </si>
  <si>
    <t>Ica-kortet</t>
  </si>
  <si>
    <t>Försäkring</t>
  </si>
  <si>
    <t xml:space="preserve">Billån Maja </t>
  </si>
  <si>
    <t>Sparande egen</t>
  </si>
  <si>
    <t>Familjespar</t>
  </si>
  <si>
    <t>Barnspar</t>
  </si>
  <si>
    <t>Kvar på kontot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</si>
</sst>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9.0"/>
      <color rgb="FF000000"/>
      <name val="&quot;Google Sans Mono&quot;"/>
    </font>
    <font/>
    <font>
      <u/>
      <color rgb="FF0000FF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2" fontId="3" numFmtId="0" xfId="0" applyBorder="1" applyFont="1"/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7" fontId="0" numFmtId="0" xfId="0" applyFill="1" applyFont="1"/>
    <xf borderId="1" fillId="0" fontId="3" numFmtId="0" xfId="0" applyBorder="1" applyFont="1"/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5" fontId="3" numFmtId="0" xfId="0" applyAlignment="1" applyBorder="1" applyFont="1">
      <alignment readingOrder="0"/>
    </xf>
    <xf borderId="1" fillId="7" fontId="3" numFmtId="0" xfId="0" applyBorder="1" applyFont="1"/>
    <xf borderId="1" fillId="2" fontId="3" numFmtId="4" xfId="0" applyBorder="1" applyFont="1" applyNumberFormat="1"/>
    <xf borderId="1" fillId="8" fontId="3" numFmtId="0" xfId="0" applyAlignment="1" applyBorder="1" applyFill="1" applyFont="1">
      <alignment readingOrder="0"/>
    </xf>
    <xf borderId="0" fillId="0" fontId="2" numFmtId="0" xfId="0" applyFont="1"/>
    <xf borderId="1" fillId="9" fontId="3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Font="1"/>
    <xf borderId="1" fillId="7" fontId="5" numFmtId="0" xfId="0" applyBorder="1" applyFont="1"/>
    <xf borderId="1" fillId="7" fontId="5" numFmtId="0" xfId="0" applyAlignment="1" applyBorder="1" applyFont="1">
      <alignment readingOrder="0"/>
    </xf>
    <xf borderId="1" fillId="0" fontId="5" numFmtId="0" xfId="0" applyBorder="1" applyFont="1"/>
    <xf borderId="0" fillId="7" fontId="3" numFmtId="0" xfId="0" applyAlignment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0" fontId="6" numFmtId="0" xfId="0" applyBorder="1" applyFont="1"/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Alignment="1" applyBorder="1" applyFill="1" applyFont="1">
      <alignment readingOrder="0"/>
    </xf>
    <xf borderId="1" fillId="7" fontId="3" numFmtId="0" xfId="0" applyAlignment="1" applyBorder="1" applyFont="1">
      <alignment readingOrder="0"/>
    </xf>
    <xf borderId="1" fillId="1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shrinkToFit="0" wrapText="1"/>
    </xf>
    <xf borderId="1" fillId="14" fontId="3" numFmtId="0" xfId="0" applyBorder="1" applyFill="1" applyFont="1"/>
    <xf borderId="0" fillId="0" fontId="3" numFmtId="0" xfId="0" applyAlignment="1" applyFont="1">
      <alignment shrinkToFit="0" wrapText="1"/>
    </xf>
    <xf borderId="1" fillId="6" fontId="3" numFmtId="0" xfId="0" applyAlignment="1" applyBorder="1" applyFont="1">
      <alignment readingOrder="0"/>
    </xf>
    <xf borderId="1" fillId="15" fontId="2" numFmtId="0" xfId="0" applyAlignment="1" applyBorder="1" applyFill="1" applyFont="1">
      <alignment readingOrder="0"/>
    </xf>
    <xf borderId="3" fillId="3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3" xfId="0" applyAlignment="1" applyBorder="1" applyFont="1" applyNumberFormat="1">
      <alignment readingOrder="0"/>
    </xf>
    <xf borderId="1" fillId="0" fontId="3" numFmtId="3" xfId="0" applyBorder="1" applyFont="1" applyNumberFormat="1"/>
    <xf borderId="3" fillId="0" fontId="3" numFmtId="3" xfId="0" applyBorder="1" applyFont="1" applyNumberFormat="1"/>
    <xf borderId="1" fillId="0" fontId="3" numFmtId="164" xfId="0" applyBorder="1" applyFont="1" applyNumberFormat="1"/>
    <xf borderId="3" fillId="0" fontId="3" numFmtId="0" xfId="0" applyBorder="1" applyFont="1"/>
    <xf borderId="1" fillId="16" fontId="3" numFmtId="0" xfId="0" applyAlignment="1" applyBorder="1" applyFill="1" applyFont="1">
      <alignment readingOrder="0"/>
    </xf>
    <xf borderId="0" fillId="0" fontId="3" numFmtId="3" xfId="0" applyFont="1" applyNumberFormat="1"/>
    <xf borderId="1" fillId="17" fontId="3" numFmtId="0" xfId="0" applyAlignment="1" applyBorder="1" applyFill="1" applyFont="1">
      <alignment readingOrder="0"/>
    </xf>
    <xf borderId="1" fillId="17" fontId="3" numFmtId="3" xfId="0" applyAlignment="1" applyBorder="1" applyFont="1" applyNumberFormat="1">
      <alignment readingOrder="0"/>
    </xf>
    <xf borderId="1" fillId="2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Huslån över tid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star"/>
            <c:size val="2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Data!$F$4:$F$604</c:f>
            </c:numRef>
          </c:xVal>
          <c:yVal>
            <c:numRef>
              <c:f>Data!$G$4:$G$604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15471"/>
        <c:axId val="1741196891"/>
      </c:scatterChart>
      <c:valAx>
        <c:axId val="736615471"/>
        <c:scaling>
          <c:orientation val="minMax"/>
          <c:max val="6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Månad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196891"/>
      </c:valAx>
      <c:valAx>
        <c:axId val="1741196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Huslån (kr)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615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Övriga kostnader och sparande över tid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Data!$F$4:$F$604</c:f>
            </c:strRef>
          </c:cat>
          <c:val>
            <c:numRef>
              <c:f>Data!$H$4:$H$604</c:f>
              <c:numCache/>
            </c:numRef>
          </c:val>
          <c:smooth val="0"/>
        </c:ser>
        <c:ser>
          <c:idx val="1"/>
          <c:order val="1"/>
          <c:tx>
            <c:strRef>
              <c:f>Data!$L$3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386"/>
            <c:marker>
              <c:symbol val="none"/>
            </c:marker>
          </c:dPt>
          <c:cat>
            <c:strRef>
              <c:f>Data!$F$4:$F$604</c:f>
            </c:strRef>
          </c:cat>
          <c:val>
            <c:numRef>
              <c:f>Data!$L$4:$L$604</c:f>
              <c:numCache/>
            </c:numRef>
          </c:val>
          <c:smooth val="0"/>
        </c:ser>
        <c:ser>
          <c:idx val="2"/>
          <c:order val="2"/>
          <c:tx>
            <c:strRef>
              <c:f>Data!$M$3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Data!$F$4:$F$604</c:f>
            </c:strRef>
          </c:cat>
          <c:val>
            <c:numRef>
              <c:f>Data!$M$4:$M$604</c:f>
              <c:numCache/>
            </c:numRef>
          </c:val>
          <c:smooth val="0"/>
        </c:ser>
        <c:ser>
          <c:idx val="3"/>
          <c:order val="3"/>
          <c:tx>
            <c:strRef>
              <c:f>Data!$N$3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Data!$F$4:$F$604</c:f>
            </c:strRef>
          </c:cat>
          <c:val>
            <c:numRef>
              <c:f>Data!$N$4:$N$604</c:f>
              <c:numCache/>
            </c:numRef>
          </c:val>
          <c:smooth val="0"/>
        </c:ser>
        <c:ser>
          <c:idx val="4"/>
          <c:order val="4"/>
          <c:tx>
            <c:strRef>
              <c:f>Data!$J$3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Data!$F$4:$F$604</c:f>
            </c:strRef>
          </c:cat>
          <c:val>
            <c:numRef>
              <c:f>Data!$J$4:$J$604</c:f>
              <c:numCache/>
            </c:numRef>
          </c:val>
          <c:smooth val="0"/>
        </c:ser>
        <c:axId val="125689020"/>
        <c:axId val="1174859012"/>
      </c:lineChart>
      <c:catAx>
        <c:axId val="125689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Månad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859012"/>
      </c:catAx>
      <c:valAx>
        <c:axId val="1174859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Värde (kr)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89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15</xdr:row>
      <xdr:rowOff>190500</xdr:rowOff>
    </xdr:from>
    <xdr:ext cx="5848350" cy="3400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685800</xdr:colOff>
      <xdr:row>15</xdr:row>
      <xdr:rowOff>190500</xdr:rowOff>
    </xdr:from>
    <xdr:ext cx="6134100" cy="3400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ja_Markus" id="{ced7a780-0c61-4dc9-9ebf-37af972b514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7" dT="2024-10-17T06:08:47.00" personId="{ced7a780-0c61-4dc9-9ebf-37af972b5142}" id="{06f94cf2-d407-4249-9f28-1df09e43b25f}" done="1">
    <x18tc:text xml:space="preserve">Inkluderar utgifter från ICA-kortet förutom EL, parkering och hyra. Det är inräknat i husprisets driftkostnad.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ula.se/catalog/bygg-och-farg/varme-och-ventilation/kaminer-och-oppna-spisar/fasta-branslen/ved-023627/" TargetMode="External"/><Relationship Id="rId2" Type="http://schemas.openxmlformats.org/officeDocument/2006/relationships/hyperlink" Target="https://www.babyworld.se/sv/varumarken/babydan/babydan-liva-multidan-grind-metall-vit?gad_source=1&amp;gbraid=0AAAAADMjSNFdICtHsu0mz_a79jwqRTFEL&amp;gclid=CjwKCAiA9IC6BhA3EiwAsbltOL5JBsbom1jATHu2oG82MeXIAO7L4lU_c4FUCWUxS5TLCpXaJvvcvBoCxGEQAvD_BwE&amp;gclsrc=aw.ds" TargetMode="External"/><Relationship Id="rId3" Type="http://schemas.openxmlformats.org/officeDocument/2006/relationships/hyperlink" Target="https://www.bauhaus.se/strombrytare-tem-10ax-kron-svart?gad_source=1&amp;gbraid=0AAAAADxd_kzzYOS-uzo1bvf1izxK94CGj&amp;gclid=CjwKCAiApsm7BhBZEiwAvIu2X9P-Rx2l3jCP3J0qz-pevrEwvlnyqJYr-V_WvHywmPnFHW9K3Tl13hoCyNAQAvD_BwE" TargetMode="External"/><Relationship Id="rId4" Type="http://schemas.openxmlformats.org/officeDocument/2006/relationships/hyperlink" Target="https://www.ikea.com/se/sv/p/lillehem-2-sitsig-modulsoffa-vissle-beige-metall-s19471279/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25"/>
    <col customWidth="1" min="3" max="3" width="17.25"/>
    <col customWidth="1" min="5" max="5" width="3.88"/>
    <col customWidth="1" min="6" max="6" width="19.0"/>
    <col customWidth="1" min="7" max="7" width="16.63"/>
    <col customWidth="1" min="8" max="8" width="15.63"/>
    <col customWidth="1" min="9" max="9" width="20.25"/>
    <col customWidth="1" min="10" max="10" width="19.75"/>
    <col customWidth="1" min="11" max="11" width="17.5"/>
    <col customWidth="1" min="12" max="12" width="17.63"/>
    <col customWidth="1" min="13" max="13" width="18.5"/>
    <col customWidth="1" min="14" max="14" width="16.13"/>
  </cols>
  <sheetData>
    <row r="1" ht="8.25" customHeight="1"/>
    <row r="2" ht="1.5" customHeight="1">
      <c r="B2" s="1"/>
      <c r="C2" s="1"/>
      <c r="D2" s="1"/>
      <c r="E2" s="1"/>
      <c r="F2" s="1"/>
    </row>
    <row r="3">
      <c r="B3" s="2" t="s">
        <v>0</v>
      </c>
      <c r="C3" s="3"/>
      <c r="D3" s="3"/>
      <c r="F3" s="4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5" t="s">
        <v>7</v>
      </c>
      <c r="M3" s="6" t="s">
        <v>8</v>
      </c>
      <c r="N3" s="7" t="s">
        <v>9</v>
      </c>
    </row>
    <row r="4">
      <c r="B4" s="8" t="s">
        <v>10</v>
      </c>
      <c r="C4" s="8">
        <v>5000000.0</v>
      </c>
      <c r="D4" s="8" t="s">
        <v>11</v>
      </c>
      <c r="F4" s="8">
        <v>1.0</v>
      </c>
      <c r="G4" s="8">
        <f>C5</f>
        <v>3750000</v>
      </c>
      <c r="H4" s="9">
        <f>INT(IF(AND($D$7="JA", $D$11="JA", $D$8="JA"), (C5*(($C$7/100*$C$11/100)-$C$8/100))/12, IF(AND($D$7="JA", $D$11="JA", $D$8="NEJ"), (C5*(($C$7/100*$C$11/100))/12), 0)))
</f>
        <v>9584</v>
      </c>
      <c r="I4" s="9">
        <f>INT(SUM(C9:C10)/12)</f>
        <v>4712</v>
      </c>
      <c r="J4" s="9">
        <f>INT((C5*C15/100)/12)</f>
        <v>6250</v>
      </c>
      <c r="K4" s="9">
        <f>INT((C4*C14/100)/12)</f>
        <v>4166</v>
      </c>
      <c r="L4" s="8">
        <f>INT(SUM(H4:K4))</f>
        <v>24712</v>
      </c>
      <c r="M4" s="8">
        <f>(L4 + $D$50)</f>
        <v>46661</v>
      </c>
      <c r="N4" s="8">
        <f>($D$24 - M4)</f>
        <v>3139</v>
      </c>
    </row>
    <row r="5">
      <c r="B5" s="8" t="s">
        <v>12</v>
      </c>
      <c r="C5" s="8">
        <f>(C4*C12/100)</f>
        <v>3750000</v>
      </c>
      <c r="D5" s="8" t="s">
        <v>11</v>
      </c>
      <c r="F5" s="8">
        <f>Data!F27</f>
        <v>24</v>
      </c>
      <c r="G5" s="10">
        <f>Data!G27</f>
        <v>3606250</v>
      </c>
      <c r="H5" s="9">
        <f>Data!H27</f>
        <v>9216</v>
      </c>
      <c r="I5" s="8">
        <f>Data!I27</f>
        <v>4712</v>
      </c>
      <c r="J5" s="8">
        <f>Data!J27</f>
        <v>6250</v>
      </c>
      <c r="K5" s="8">
        <f>Data!K27</f>
        <v>4166</v>
      </c>
      <c r="L5" s="8">
        <f>Data!L27</f>
        <v>24344</v>
      </c>
      <c r="M5" s="8">
        <f>Data!M27</f>
        <v>46293</v>
      </c>
      <c r="N5" s="8">
        <f>Data!N27</f>
        <v>3507</v>
      </c>
    </row>
    <row r="6">
      <c r="B6" s="8" t="s">
        <v>13</v>
      </c>
      <c r="C6" s="8">
        <f>(C4*(1-C12/100))</f>
        <v>1250000</v>
      </c>
      <c r="D6" s="8" t="s">
        <v>11</v>
      </c>
      <c r="F6" s="8">
        <f>Data!F51</f>
        <v>48</v>
      </c>
      <c r="G6" s="11">
        <f>Data!G51</f>
        <v>3456250</v>
      </c>
      <c r="H6" s="11">
        <f>Data!H51</f>
        <v>8833</v>
      </c>
      <c r="I6" s="11">
        <f>Data!I51</f>
        <v>4712</v>
      </c>
      <c r="J6" s="11">
        <f>Data!J51</f>
        <v>6250</v>
      </c>
      <c r="K6" s="11">
        <f>Data!K51</f>
        <v>4166</v>
      </c>
      <c r="L6" s="11">
        <f>Data!L51</f>
        <v>23961</v>
      </c>
      <c r="M6" s="11">
        <f>Data!M51</f>
        <v>45910</v>
      </c>
      <c r="N6" s="11">
        <f>Data!N51</f>
        <v>3890</v>
      </c>
    </row>
    <row r="7">
      <c r="B7" s="8" t="s">
        <v>14</v>
      </c>
      <c r="C7" s="8">
        <v>3.067</v>
      </c>
      <c r="D7" s="8" t="s">
        <v>11</v>
      </c>
      <c r="F7" s="8">
        <f>Data!F75</f>
        <v>72</v>
      </c>
      <c r="G7" s="8">
        <f>Data!G75</f>
        <v>3306250</v>
      </c>
      <c r="H7" s="8">
        <f>Data!H75</f>
        <v>8450</v>
      </c>
      <c r="I7" s="8">
        <f>Data!I75</f>
        <v>4712</v>
      </c>
      <c r="J7" s="8">
        <f>Data!J75</f>
        <v>6250</v>
      </c>
      <c r="K7" s="8">
        <f>Data!K75</f>
        <v>4166</v>
      </c>
      <c r="L7" s="8">
        <f>Data!L75</f>
        <v>23578</v>
      </c>
      <c r="M7" s="8">
        <f>Data!M75</f>
        <v>45527</v>
      </c>
      <c r="N7" s="8">
        <f>Data!N75</f>
        <v>4273</v>
      </c>
    </row>
    <row r="8">
      <c r="B8" s="8" t="s">
        <v>15</v>
      </c>
      <c r="C8" s="8">
        <v>1.0</v>
      </c>
      <c r="D8" s="8" t="s">
        <v>16</v>
      </c>
      <c r="F8" s="8">
        <f>Data!F99</f>
        <v>96</v>
      </c>
      <c r="G8" s="8">
        <f>Data!G99</f>
        <v>3156250</v>
      </c>
      <c r="H8" s="8">
        <f>Data!H99</f>
        <v>8066</v>
      </c>
      <c r="I8" s="8">
        <f>Data!I99</f>
        <v>4712</v>
      </c>
      <c r="J8" s="8">
        <f>Data!J99</f>
        <v>6250</v>
      </c>
      <c r="K8" s="8">
        <f>Data!K99</f>
        <v>4166</v>
      </c>
      <c r="L8" s="8">
        <f>Data!L99</f>
        <v>23194</v>
      </c>
      <c r="M8" s="8">
        <f>Data!M99</f>
        <v>45143</v>
      </c>
      <c r="N8" s="8">
        <f>Data!N99</f>
        <v>4657</v>
      </c>
    </row>
    <row r="9">
      <c r="B9" s="12" t="s">
        <v>17</v>
      </c>
      <c r="C9" s="12">
        <v>47025.0</v>
      </c>
      <c r="D9" s="12" t="s">
        <v>11</v>
      </c>
      <c r="F9" s="8">
        <f>Data!F123</f>
        <v>120</v>
      </c>
      <c r="G9" s="8">
        <f>Data!G123</f>
        <v>3006250</v>
      </c>
      <c r="H9" s="8">
        <f>Data!H123</f>
        <v>7683</v>
      </c>
      <c r="I9" s="8">
        <f>Data!I123</f>
        <v>4712</v>
      </c>
      <c r="J9" s="8">
        <f>Data!J123</f>
        <v>6250</v>
      </c>
      <c r="K9" s="8">
        <f>Data!K123</f>
        <v>4166</v>
      </c>
      <c r="L9" s="8">
        <f>Data!L123</f>
        <v>22811</v>
      </c>
      <c r="M9" s="8">
        <f>Data!M123</f>
        <v>44760</v>
      </c>
      <c r="N9" s="8">
        <f>Data!N123</f>
        <v>5040</v>
      </c>
    </row>
    <row r="10">
      <c r="B10" s="8" t="s">
        <v>18</v>
      </c>
      <c r="C10" s="8">
        <v>9525.0</v>
      </c>
      <c r="D10" s="8" t="s">
        <v>11</v>
      </c>
      <c r="F10" s="8">
        <f>Data!F147</f>
        <v>144</v>
      </c>
      <c r="G10" s="8">
        <f>Data!G147</f>
        <v>2856250</v>
      </c>
      <c r="H10" s="8">
        <f>Data!H147</f>
        <v>7300</v>
      </c>
      <c r="I10" s="8">
        <f>Data!I147</f>
        <v>4712</v>
      </c>
      <c r="J10" s="8">
        <f>Data!J147</f>
        <v>6250</v>
      </c>
      <c r="K10" s="8">
        <f>Data!K147</f>
        <v>4166</v>
      </c>
      <c r="L10" s="8">
        <f>Data!L147</f>
        <v>22428</v>
      </c>
      <c r="M10" s="8">
        <f>Data!M147</f>
        <v>44377</v>
      </c>
      <c r="N10" s="8">
        <f>Data!N147</f>
        <v>5423</v>
      </c>
    </row>
    <row r="11">
      <c r="B11" s="8" t="s">
        <v>19</v>
      </c>
      <c r="C11" s="8">
        <v>100.0</v>
      </c>
      <c r="D11" s="8" t="s">
        <v>11</v>
      </c>
      <c r="F11" s="8">
        <f>Data!F171</f>
        <v>168</v>
      </c>
      <c r="G11" s="8">
        <f>Data!G171</f>
        <v>2706250</v>
      </c>
      <c r="H11" s="8">
        <f>Data!H171</f>
        <v>6916</v>
      </c>
      <c r="I11" s="8">
        <f>Data!I171</f>
        <v>4712</v>
      </c>
      <c r="J11" s="8">
        <f>Data!J171</f>
        <v>6250</v>
      </c>
      <c r="K11" s="8">
        <f>Data!K171</f>
        <v>4166</v>
      </c>
      <c r="L11" s="8">
        <f>Data!L171</f>
        <v>22044</v>
      </c>
      <c r="M11" s="8">
        <f>Data!M171</f>
        <v>43993</v>
      </c>
      <c r="N11" s="8">
        <f>Data!N171</f>
        <v>5807</v>
      </c>
    </row>
    <row r="12">
      <c r="B12" s="8" t="s">
        <v>20</v>
      </c>
      <c r="C12" s="8">
        <v>75.0</v>
      </c>
      <c r="D12" s="8" t="s">
        <v>11</v>
      </c>
      <c r="F12" s="8">
        <f>Data!F195</f>
        <v>192</v>
      </c>
      <c r="G12" s="8">
        <f>Data!G195</f>
        <v>2587500</v>
      </c>
      <c r="H12" s="8">
        <f>Data!H195</f>
        <v>6613</v>
      </c>
      <c r="I12" s="8">
        <f>Data!I195</f>
        <v>4712</v>
      </c>
      <c r="J12" s="8">
        <f>Data!J195</f>
        <v>3125</v>
      </c>
      <c r="K12" s="8">
        <f>Data!K195</f>
        <v>4166</v>
      </c>
      <c r="L12" s="8">
        <f>Data!L195</f>
        <v>18616</v>
      </c>
      <c r="M12" s="8">
        <f>Data!M195</f>
        <v>40565</v>
      </c>
      <c r="N12" s="8">
        <f>Data!N195</f>
        <v>9235</v>
      </c>
    </row>
    <row r="13">
      <c r="B13" s="8" t="s">
        <v>21</v>
      </c>
      <c r="C13" s="13">
        <f>(0.015*C4)</f>
        <v>75000</v>
      </c>
      <c r="D13" s="8" t="s">
        <v>11</v>
      </c>
      <c r="F13" s="8">
        <f>Data!F219</f>
        <v>216</v>
      </c>
      <c r="G13" s="8">
        <f>Data!G219</f>
        <v>2512500</v>
      </c>
      <c r="H13" s="8">
        <f>Data!H219</f>
        <v>6421</v>
      </c>
      <c r="I13" s="8">
        <f>Data!I219</f>
        <v>4712</v>
      </c>
      <c r="J13" s="8">
        <f>Data!J219</f>
        <v>3125</v>
      </c>
      <c r="K13" s="8">
        <f>Data!K219</f>
        <v>4166</v>
      </c>
      <c r="L13" s="8">
        <f>Data!L219</f>
        <v>18424</v>
      </c>
      <c r="M13" s="8">
        <f>Data!M219</f>
        <v>40373</v>
      </c>
      <c r="N13" s="8">
        <f>Data!N219</f>
        <v>9427</v>
      </c>
    </row>
    <row r="14">
      <c r="B14" s="8" t="s">
        <v>22</v>
      </c>
      <c r="C14" s="8">
        <v>1.0</v>
      </c>
      <c r="D14" s="8" t="s">
        <v>11</v>
      </c>
      <c r="F14" s="8">
        <f>Data!F243</f>
        <v>240</v>
      </c>
      <c r="G14" s="8">
        <f>Data!G243</f>
        <v>2437500</v>
      </c>
      <c r="H14" s="8">
        <f>Data!H243</f>
        <v>6229</v>
      </c>
      <c r="I14" s="8">
        <f>Data!I243</f>
        <v>4712</v>
      </c>
      <c r="J14" s="8">
        <f>Data!J243</f>
        <v>3125</v>
      </c>
      <c r="K14" s="8">
        <f>Data!K243</f>
        <v>4166</v>
      </c>
      <c r="L14" s="8">
        <f>Data!L243</f>
        <v>18232</v>
      </c>
      <c r="M14" s="8">
        <f>Data!M243</f>
        <v>40181</v>
      </c>
      <c r="N14" s="8">
        <f>Data!N243</f>
        <v>9619</v>
      </c>
    </row>
    <row r="15">
      <c r="B15" s="8" t="s">
        <v>23</v>
      </c>
      <c r="C15" s="8">
        <f>IF(C16&gt;C5,2,3)</f>
        <v>2</v>
      </c>
      <c r="D15" s="8" t="s">
        <v>11</v>
      </c>
      <c r="F15" s="8">
        <f>Data!F267</f>
        <v>264</v>
      </c>
      <c r="G15" s="8">
        <f>Data!G267</f>
        <v>2362500</v>
      </c>
      <c r="H15" s="8">
        <f>Data!H267</f>
        <v>6038</v>
      </c>
      <c r="I15" s="8">
        <f>Data!I267</f>
        <v>4712</v>
      </c>
      <c r="J15" s="8">
        <f>Data!J267</f>
        <v>3125</v>
      </c>
      <c r="K15" s="8">
        <f>Data!K267</f>
        <v>4166</v>
      </c>
      <c r="L15" s="8">
        <f>Data!L267</f>
        <v>18041</v>
      </c>
      <c r="M15" s="8">
        <f>Data!M267</f>
        <v>39990</v>
      </c>
      <c r="N15" s="8">
        <f>Data!N267</f>
        <v>9810</v>
      </c>
    </row>
    <row r="16">
      <c r="B16" s="8" t="s">
        <v>24</v>
      </c>
      <c r="C16" s="8">
        <f>(48000*12 + 32250*12)*4.5</f>
        <v>4333500</v>
      </c>
      <c r="D16" s="11" t="str">
        <f>IF(C5&lt;C16,"JA","NEJ")</f>
        <v>JA</v>
      </c>
      <c r="F16" s="13"/>
      <c r="H16" s="14"/>
      <c r="I16" s="13"/>
      <c r="J16" s="13"/>
      <c r="K16" s="13"/>
      <c r="L16" s="13"/>
      <c r="M16" s="13"/>
      <c r="N16" s="13"/>
    </row>
    <row r="17">
      <c r="B17" s="8" t="s">
        <v>25</v>
      </c>
      <c r="C17" s="8">
        <f>0.02*(C5 - 4208000)</f>
        <v>-9160</v>
      </c>
      <c r="D17" s="8" t="s">
        <v>16</v>
      </c>
      <c r="F17" s="13"/>
      <c r="H17" s="14"/>
      <c r="I17" s="13"/>
      <c r="J17" s="13"/>
      <c r="K17" s="13"/>
      <c r="L17" s="13"/>
      <c r="M17" s="13"/>
      <c r="N17" s="13"/>
    </row>
    <row r="18">
      <c r="B18" s="8" t="s">
        <v>26</v>
      </c>
      <c r="C18" s="8" t="b">
        <f>MIN(G4:G1005) &lt;= G4 * 0.7</f>
        <v>1</v>
      </c>
      <c r="D18" s="8" t="s">
        <v>11</v>
      </c>
      <c r="F18" s="13"/>
      <c r="H18" s="14"/>
      <c r="I18" s="13"/>
      <c r="J18" s="13"/>
      <c r="K18" s="13"/>
      <c r="L18" s="13"/>
      <c r="M18" s="13"/>
      <c r="N18" s="13"/>
    </row>
    <row r="19">
      <c r="B19" s="8" t="s">
        <v>27</v>
      </c>
      <c r="C19" s="8">
        <v>825.0</v>
      </c>
      <c r="D19" s="8" t="s">
        <v>11</v>
      </c>
      <c r="F19" s="13"/>
      <c r="H19" s="14"/>
      <c r="I19" s="13"/>
      <c r="J19" s="13"/>
      <c r="K19" s="13"/>
      <c r="L19" s="13"/>
      <c r="M19" s="13"/>
      <c r="N19" s="13"/>
    </row>
    <row r="20">
      <c r="F20" s="13"/>
      <c r="H20" s="14"/>
      <c r="I20" s="13"/>
      <c r="J20" s="13"/>
      <c r="K20" s="13"/>
      <c r="L20" s="13"/>
      <c r="M20" s="13"/>
      <c r="N20" s="13"/>
    </row>
    <row r="21">
      <c r="B21" s="2" t="s">
        <v>28</v>
      </c>
      <c r="C21" s="2" t="s">
        <v>29</v>
      </c>
      <c r="D21" s="2" t="s">
        <v>30</v>
      </c>
      <c r="F21" s="13"/>
      <c r="H21" s="14"/>
      <c r="I21" s="13"/>
      <c r="J21" s="13"/>
      <c r="K21" s="13"/>
      <c r="L21" s="13"/>
      <c r="M21" s="13"/>
      <c r="N21" s="13"/>
    </row>
    <row r="22">
      <c r="B22" s="8" t="s">
        <v>31</v>
      </c>
      <c r="C22" s="15">
        <f>IF(D22 = "NEJ", 36800, 15586)
</f>
        <v>36800</v>
      </c>
      <c r="D22" s="8" t="s">
        <v>16</v>
      </c>
      <c r="F22" s="13"/>
      <c r="H22" s="14"/>
      <c r="I22" s="13"/>
      <c r="J22" s="13"/>
      <c r="K22" s="13"/>
      <c r="L22" s="13"/>
      <c r="M22" s="13"/>
      <c r="N22" s="13"/>
    </row>
    <row r="23">
      <c r="B23" s="8" t="s">
        <v>32</v>
      </c>
      <c r="C23" s="15">
        <f>IF(D23 = "NEJ", 29500, 13000)</f>
        <v>13000</v>
      </c>
      <c r="D23" s="8" t="s">
        <v>11</v>
      </c>
      <c r="F23" s="13"/>
      <c r="H23" s="14"/>
      <c r="I23" s="13"/>
      <c r="J23" s="13"/>
      <c r="K23" s="13"/>
      <c r="L23" s="13"/>
      <c r="M23" s="13"/>
      <c r="N23" s="13"/>
    </row>
    <row r="24">
      <c r="B24" s="6" t="s">
        <v>33</v>
      </c>
      <c r="C24" s="11"/>
      <c r="D24" s="8">
        <f>SUM(C22:C23)</f>
        <v>49800</v>
      </c>
      <c r="F24" s="13"/>
      <c r="H24" s="14"/>
      <c r="I24" s="13"/>
      <c r="J24" s="13"/>
      <c r="K24" s="13"/>
      <c r="L24" s="13"/>
      <c r="M24" s="13"/>
      <c r="N24" s="13"/>
    </row>
    <row r="25">
      <c r="F25" s="13"/>
      <c r="H25" s="14"/>
      <c r="I25" s="13"/>
      <c r="J25" s="13"/>
      <c r="K25" s="13"/>
      <c r="L25" s="13"/>
      <c r="M25" s="13"/>
      <c r="N25" s="13"/>
    </row>
    <row r="26">
      <c r="B26" s="2" t="s">
        <v>34</v>
      </c>
      <c r="C26" s="2" t="s">
        <v>35</v>
      </c>
      <c r="D26" s="2"/>
      <c r="F26" s="13"/>
      <c r="H26" s="14"/>
      <c r="I26" s="13"/>
      <c r="K26" s="13"/>
      <c r="L26" s="13"/>
      <c r="M26" s="13"/>
      <c r="N26" s="13"/>
    </row>
    <row r="27">
      <c r="B27" s="8" t="s">
        <v>36</v>
      </c>
      <c r="C27" s="8">
        <v>6000.0</v>
      </c>
      <c r="D27" s="8" t="s">
        <v>11</v>
      </c>
      <c r="F27" s="13"/>
      <c r="H27" s="14"/>
      <c r="I27" s="13"/>
      <c r="J27" s="13"/>
      <c r="K27" s="13"/>
      <c r="L27" s="13"/>
      <c r="M27" s="13"/>
      <c r="N27" s="13"/>
    </row>
    <row r="28">
      <c r="B28" s="8" t="s">
        <v>37</v>
      </c>
      <c r="C28" s="8">
        <v>399.0</v>
      </c>
      <c r="D28" s="8" t="s">
        <v>11</v>
      </c>
      <c r="F28" s="13"/>
      <c r="H28" s="14"/>
      <c r="I28" s="13"/>
      <c r="J28" s="13"/>
      <c r="K28" s="13"/>
      <c r="L28" s="13"/>
      <c r="M28" s="13"/>
      <c r="N28" s="13"/>
    </row>
    <row r="29">
      <c r="B29" s="8" t="s">
        <v>38</v>
      </c>
      <c r="C29" s="8">
        <v>882.0</v>
      </c>
      <c r="D29" s="8" t="s">
        <v>11</v>
      </c>
      <c r="F29" s="13"/>
      <c r="H29" s="14"/>
      <c r="I29" s="13"/>
      <c r="J29" s="13"/>
      <c r="K29" s="13"/>
      <c r="L29" s="13"/>
      <c r="M29" s="13"/>
      <c r="N29" s="13"/>
    </row>
    <row r="30">
      <c r="B30" s="8" t="s">
        <v>39</v>
      </c>
      <c r="C30" s="8">
        <v>231.0</v>
      </c>
      <c r="D30" s="8" t="s">
        <v>11</v>
      </c>
      <c r="F30" s="13"/>
      <c r="H30" s="14"/>
      <c r="I30" s="13"/>
      <c r="J30" s="13"/>
      <c r="K30" s="13"/>
      <c r="L30" s="13"/>
      <c r="M30" s="13"/>
      <c r="N30" s="13"/>
    </row>
    <row r="31">
      <c r="B31" s="8" t="s">
        <v>40</v>
      </c>
      <c r="C31" s="8">
        <v>622.0</v>
      </c>
      <c r="D31" s="8" t="s">
        <v>11</v>
      </c>
      <c r="F31" s="13"/>
      <c r="H31" s="14"/>
      <c r="I31" s="13"/>
      <c r="J31" s="13"/>
      <c r="K31" s="13"/>
      <c r="L31" s="13"/>
      <c r="M31" s="13"/>
      <c r="N31" s="13"/>
    </row>
    <row r="32">
      <c r="B32" s="8" t="s">
        <v>41</v>
      </c>
      <c r="C32" s="8">
        <v>127.0</v>
      </c>
      <c r="D32" s="8" t="s">
        <v>11</v>
      </c>
      <c r="F32" s="13"/>
      <c r="H32" s="14"/>
      <c r="I32" s="13"/>
      <c r="J32" s="13"/>
      <c r="K32" s="13"/>
      <c r="L32" s="13"/>
      <c r="M32" s="13"/>
      <c r="N32" s="13"/>
    </row>
    <row r="33">
      <c r="B33" s="8" t="s">
        <v>42</v>
      </c>
      <c r="C33" s="8">
        <v>70.0</v>
      </c>
      <c r="D33" s="8" t="s">
        <v>11</v>
      </c>
      <c r="F33" s="13"/>
      <c r="H33" s="14"/>
      <c r="I33" s="13"/>
      <c r="J33" s="13"/>
      <c r="K33" s="13"/>
      <c r="L33" s="13"/>
      <c r="M33" s="13"/>
      <c r="N33" s="13"/>
    </row>
    <row r="34">
      <c r="B34" s="8" t="s">
        <v>43</v>
      </c>
      <c r="C34" s="8">
        <v>1100.0</v>
      </c>
      <c r="D34" s="8" t="s">
        <v>11</v>
      </c>
      <c r="F34" s="13"/>
      <c r="H34" s="14"/>
      <c r="I34" s="13"/>
      <c r="J34" s="13"/>
      <c r="K34" s="13"/>
      <c r="L34" s="13"/>
      <c r="M34" s="13"/>
      <c r="N34" s="13"/>
    </row>
    <row r="35">
      <c r="B35" s="8" t="s">
        <v>44</v>
      </c>
      <c r="C35" s="8">
        <v>100.0</v>
      </c>
      <c r="D35" s="8" t="s">
        <v>11</v>
      </c>
      <c r="F35" s="13"/>
      <c r="H35" s="14"/>
      <c r="I35" s="13"/>
      <c r="J35" s="13"/>
      <c r="K35" s="13"/>
      <c r="L35" s="13"/>
      <c r="M35" s="13"/>
      <c r="N35" s="13"/>
    </row>
    <row r="36">
      <c r="B36" s="8" t="s">
        <v>45</v>
      </c>
      <c r="C36" s="8">
        <v>119.0</v>
      </c>
      <c r="D36" s="8" t="s">
        <v>11</v>
      </c>
      <c r="F36" s="13"/>
      <c r="H36" s="14"/>
      <c r="I36" s="13"/>
      <c r="K36" s="13"/>
      <c r="L36" s="13"/>
      <c r="M36" s="13"/>
      <c r="N36" s="13"/>
    </row>
    <row r="37">
      <c r="B37" s="8" t="s">
        <v>46</v>
      </c>
      <c r="C37" s="8">
        <v>279.0</v>
      </c>
      <c r="D37" s="8" t="s">
        <v>11</v>
      </c>
      <c r="F37" s="13"/>
      <c r="H37" s="14"/>
      <c r="I37" s="13"/>
      <c r="J37" s="13"/>
      <c r="K37" s="13"/>
      <c r="L37" s="13"/>
      <c r="M37" s="13"/>
      <c r="N37" s="13"/>
    </row>
    <row r="38">
      <c r="B38" s="8" t="s">
        <v>47</v>
      </c>
      <c r="C38" s="8">
        <v>1000.0</v>
      </c>
      <c r="D38" s="8" t="s">
        <v>11</v>
      </c>
      <c r="F38" s="13"/>
      <c r="H38" s="14"/>
      <c r="I38" s="13"/>
      <c r="J38" s="13"/>
      <c r="K38" s="13"/>
      <c r="L38" s="13"/>
      <c r="M38" s="13"/>
      <c r="N38" s="13"/>
    </row>
    <row r="39">
      <c r="B39" s="8" t="s">
        <v>48</v>
      </c>
      <c r="C39" s="13">
        <v>7000.0</v>
      </c>
      <c r="D39" s="8" t="s">
        <v>11</v>
      </c>
      <c r="F39" s="13"/>
      <c r="H39" s="14"/>
      <c r="I39" s="13"/>
      <c r="J39" s="16"/>
      <c r="O39" s="16"/>
    </row>
    <row r="40">
      <c r="B40" s="8" t="s">
        <v>49</v>
      </c>
      <c r="C40" s="8">
        <v>2775.0</v>
      </c>
      <c r="D40" s="8" t="s">
        <v>11</v>
      </c>
      <c r="F40" s="13"/>
      <c r="H40" s="14"/>
      <c r="I40" s="13"/>
    </row>
    <row r="41">
      <c r="B41" s="8" t="s">
        <v>50</v>
      </c>
      <c r="C41" s="8">
        <v>229.0</v>
      </c>
      <c r="D41" s="8" t="s">
        <v>11</v>
      </c>
      <c r="F41" s="17" t="s">
        <v>51</v>
      </c>
      <c r="G41" s="18"/>
      <c r="H41" s="19">
        <f>SUM(C6,C13,C19)</f>
        <v>1325825</v>
      </c>
      <c r="I41" s="13"/>
      <c r="M41" s="16"/>
      <c r="R41" s="16"/>
    </row>
    <row r="42">
      <c r="B42" s="8" t="s">
        <v>52</v>
      </c>
      <c r="C42" s="8">
        <v>250.0</v>
      </c>
      <c r="D42" s="8" t="s">
        <v>11</v>
      </c>
      <c r="F42" s="20" t="s">
        <v>53</v>
      </c>
      <c r="G42" s="11"/>
      <c r="H42" s="3">
        <f>IF(D22 = "JA", -1*SUM(Data!N5:N10), 0)</f>
        <v>0</v>
      </c>
      <c r="I42" s="13"/>
      <c r="M42" s="16"/>
      <c r="R42" s="16"/>
    </row>
    <row r="43">
      <c r="B43" s="8" t="s">
        <v>54</v>
      </c>
      <c r="C43" s="8">
        <v>331.0</v>
      </c>
      <c r="D43" s="8" t="s">
        <v>11</v>
      </c>
      <c r="F43" s="4" t="s">
        <v>55</v>
      </c>
      <c r="G43" s="18"/>
      <c r="H43" s="19" t="str">
        <f>(#REF!-H41-H42)</f>
        <v>#REF!</v>
      </c>
      <c r="I43" s="13"/>
      <c r="M43" s="21"/>
      <c r="R43" s="21"/>
    </row>
    <row r="44">
      <c r="B44" s="8" t="s">
        <v>56</v>
      </c>
      <c r="C44" s="8">
        <v>80.0</v>
      </c>
      <c r="D44" s="8" t="s">
        <v>11</v>
      </c>
      <c r="F44" s="13"/>
      <c r="H44" s="14"/>
      <c r="I44" s="13"/>
    </row>
    <row r="45">
      <c r="B45" s="8" t="s">
        <v>57</v>
      </c>
      <c r="C45" s="8">
        <v>229.0</v>
      </c>
      <c r="D45" s="8" t="s">
        <v>11</v>
      </c>
    </row>
    <row r="46">
      <c r="B46" s="8" t="s">
        <v>58</v>
      </c>
      <c r="C46" s="8">
        <v>126.0</v>
      </c>
      <c r="D46" s="8" t="s">
        <v>11</v>
      </c>
    </row>
    <row r="47">
      <c r="B47" s="8" t="s">
        <v>59</v>
      </c>
      <c r="C47" s="8">
        <f>IF(D47 = "JA", 2880, 0)</f>
        <v>0</v>
      </c>
      <c r="D47" s="8" t="s">
        <v>16</v>
      </c>
      <c r="M47" s="16"/>
      <c r="R47" s="16"/>
    </row>
    <row r="48">
      <c r="B48" s="8" t="s">
        <v>60</v>
      </c>
      <c r="C48" s="8">
        <f>IF(D48 = "JA", 3500, 0)</f>
        <v>0</v>
      </c>
      <c r="D48" s="8" t="s">
        <v>16</v>
      </c>
      <c r="M48" s="16"/>
      <c r="R48" s="16"/>
    </row>
    <row r="49">
      <c r="B49" s="8" t="s">
        <v>61</v>
      </c>
      <c r="C49" s="8">
        <f>IF(D49 = "JA", 5000,0)</f>
        <v>0</v>
      </c>
      <c r="D49" s="8" t="s">
        <v>16</v>
      </c>
      <c r="F49" s="13"/>
      <c r="H49" s="14"/>
      <c r="I49" s="13"/>
      <c r="M49" s="16"/>
      <c r="R49" s="21"/>
    </row>
    <row r="50">
      <c r="B50" s="6" t="s">
        <v>33</v>
      </c>
      <c r="C50" s="11"/>
      <c r="D50" s="11">
        <f>SUM(C27:C49)</f>
        <v>21949</v>
      </c>
      <c r="F50" s="13"/>
      <c r="H50" s="14"/>
      <c r="I50" s="13"/>
      <c r="J50" s="13"/>
      <c r="K50" s="13"/>
      <c r="L50" s="13"/>
      <c r="M50" s="13"/>
      <c r="N50" s="13"/>
    </row>
    <row r="51">
      <c r="F51" s="13"/>
      <c r="H51" s="14"/>
      <c r="I51" s="13"/>
      <c r="J51" s="13"/>
      <c r="K51" s="13"/>
      <c r="L51" s="13"/>
      <c r="M51" s="13"/>
      <c r="N51" s="13"/>
    </row>
    <row r="52">
      <c r="B52" s="22" t="s">
        <v>62</v>
      </c>
      <c r="C52" s="22" t="s">
        <v>35</v>
      </c>
      <c r="D52" s="11"/>
      <c r="F52" s="13"/>
      <c r="L52" s="13"/>
      <c r="M52" s="13"/>
      <c r="N52" s="13"/>
    </row>
    <row r="53">
      <c r="B53" s="8" t="s">
        <v>63</v>
      </c>
      <c r="C53" s="8">
        <v>1847.0</v>
      </c>
      <c r="D53" s="11"/>
      <c r="F53" s="13"/>
      <c r="L53" s="13"/>
      <c r="M53" s="13"/>
      <c r="N53" s="13"/>
    </row>
    <row r="54">
      <c r="B54" s="8" t="s">
        <v>64</v>
      </c>
      <c r="C54" s="8">
        <v>852.0</v>
      </c>
      <c r="D54" s="11"/>
      <c r="F54" s="13"/>
      <c r="H54" s="14"/>
      <c r="I54" s="13"/>
      <c r="J54" s="13"/>
      <c r="K54" s="13"/>
      <c r="L54" s="13"/>
      <c r="M54" s="13"/>
      <c r="N54" s="13"/>
    </row>
    <row r="55">
      <c r="B55" s="6" t="s">
        <v>33</v>
      </c>
      <c r="C55" s="11"/>
      <c r="D55" s="11">
        <f>SUM(C53,C54)</f>
        <v>2699</v>
      </c>
      <c r="F55" s="13"/>
      <c r="L55" s="13"/>
      <c r="M55" s="13"/>
      <c r="N55" s="13"/>
    </row>
    <row r="56">
      <c r="F56" s="13"/>
      <c r="L56" s="13"/>
      <c r="M56" s="13"/>
      <c r="N56" s="13"/>
    </row>
    <row r="57">
      <c r="F57" s="13"/>
      <c r="H57" s="14"/>
      <c r="I57" s="13"/>
      <c r="J57" s="13"/>
      <c r="K57" s="13"/>
      <c r="L57" s="13"/>
      <c r="M57" s="13"/>
      <c r="N57" s="13"/>
    </row>
    <row r="58">
      <c r="F58" s="13"/>
      <c r="H58" s="14"/>
      <c r="I58" s="13"/>
      <c r="J58" s="13"/>
      <c r="K58" s="13"/>
      <c r="L58" s="13"/>
      <c r="M58" s="13"/>
      <c r="N58" s="13"/>
    </row>
    <row r="59">
      <c r="F59" s="13"/>
      <c r="H59" s="14"/>
      <c r="I59" s="13"/>
      <c r="J59" s="13"/>
      <c r="K59" s="13"/>
      <c r="L59" s="13"/>
      <c r="M59" s="13"/>
      <c r="N59" s="13"/>
    </row>
    <row r="60">
      <c r="F60" s="13"/>
      <c r="H60" s="14"/>
      <c r="I60" s="13"/>
      <c r="J60" s="13"/>
      <c r="K60" s="13"/>
      <c r="L60" s="13"/>
      <c r="M60" s="13"/>
      <c r="N60" s="13"/>
    </row>
    <row r="61">
      <c r="F61" s="13"/>
      <c r="H61" s="14"/>
      <c r="I61" s="13"/>
      <c r="J61" s="13"/>
      <c r="K61" s="13"/>
      <c r="L61" s="13"/>
      <c r="M61" s="13"/>
      <c r="N61" s="13"/>
    </row>
    <row r="62">
      <c r="F62" s="13"/>
      <c r="H62" s="14"/>
      <c r="I62" s="13"/>
      <c r="J62" s="13"/>
      <c r="K62" s="13"/>
      <c r="L62" s="13"/>
      <c r="M62" s="13"/>
      <c r="N62" s="13"/>
    </row>
    <row r="63">
      <c r="F63" s="13"/>
      <c r="H63" s="14"/>
      <c r="I63" s="13"/>
      <c r="J63" s="13"/>
      <c r="K63" s="13"/>
      <c r="L63" s="13"/>
      <c r="M63" s="13"/>
      <c r="N63" s="13"/>
    </row>
    <row r="64">
      <c r="F64" s="13"/>
      <c r="H64" s="14"/>
      <c r="I64" s="13"/>
      <c r="J64" s="13"/>
      <c r="K64" s="13"/>
      <c r="L64" s="13"/>
      <c r="M64" s="13"/>
      <c r="N64" s="13"/>
    </row>
    <row r="65">
      <c r="F65" s="13"/>
      <c r="H65" s="14"/>
      <c r="I65" s="13"/>
      <c r="J65" s="13"/>
      <c r="K65" s="13"/>
      <c r="L65" s="13"/>
      <c r="M65" s="13"/>
      <c r="N65" s="13"/>
    </row>
    <row r="66">
      <c r="F66" s="13"/>
      <c r="H66" s="14"/>
      <c r="I66" s="13"/>
      <c r="J66" s="13"/>
      <c r="K66" s="13"/>
      <c r="L66" s="13"/>
      <c r="M66" s="13"/>
      <c r="N66" s="13"/>
    </row>
    <row r="67">
      <c r="F67" s="13"/>
      <c r="H67" s="14"/>
      <c r="I67" s="13"/>
      <c r="J67" s="13"/>
      <c r="K67" s="13"/>
      <c r="L67" s="13"/>
      <c r="M67" s="13"/>
      <c r="N67" s="13"/>
    </row>
    <row r="68">
      <c r="F68" s="13"/>
      <c r="H68" s="14"/>
      <c r="I68" s="13"/>
      <c r="J68" s="13"/>
      <c r="K68" s="13"/>
      <c r="L68" s="13"/>
      <c r="M68" s="13"/>
      <c r="N68" s="13"/>
    </row>
    <row r="69">
      <c r="F69" s="13"/>
      <c r="H69" s="14"/>
      <c r="I69" s="13"/>
      <c r="J69" s="13"/>
      <c r="K69" s="13"/>
      <c r="L69" s="13"/>
      <c r="M69" s="13"/>
      <c r="N69" s="13"/>
    </row>
    <row r="70">
      <c r="F70" s="13"/>
      <c r="H70" s="14"/>
      <c r="I70" s="13"/>
      <c r="J70" s="13"/>
      <c r="K70" s="13"/>
      <c r="L70" s="13"/>
      <c r="M70" s="13"/>
      <c r="N70" s="13"/>
    </row>
    <row r="71">
      <c r="F71" s="13"/>
      <c r="H71" s="14"/>
      <c r="I71" s="13"/>
      <c r="J71" s="13"/>
      <c r="K71" s="13"/>
      <c r="L71" s="13"/>
      <c r="M71" s="13"/>
      <c r="N71" s="13"/>
    </row>
    <row r="72">
      <c r="F72" s="13"/>
      <c r="H72" s="14"/>
      <c r="I72" s="13"/>
      <c r="J72" s="13"/>
      <c r="K72" s="13"/>
      <c r="L72" s="13"/>
      <c r="M72" s="13"/>
      <c r="N72" s="13"/>
    </row>
    <row r="73">
      <c r="F73" s="13"/>
      <c r="H73" s="14"/>
      <c r="I73" s="13"/>
      <c r="J73" s="13"/>
      <c r="K73" s="13"/>
      <c r="L73" s="13"/>
      <c r="M73" s="13"/>
      <c r="N73" s="13"/>
    </row>
    <row r="74">
      <c r="F74" s="13"/>
      <c r="H74" s="14"/>
      <c r="I74" s="13"/>
      <c r="J74" s="13"/>
      <c r="K74" s="13"/>
      <c r="L74" s="13"/>
      <c r="M74" s="13"/>
      <c r="N74" s="13"/>
    </row>
    <row r="75">
      <c r="F75" s="13"/>
      <c r="H75" s="14"/>
      <c r="I75" s="13"/>
      <c r="J75" s="13"/>
      <c r="K75" s="13"/>
      <c r="L75" s="13"/>
      <c r="M75" s="13"/>
      <c r="N75" s="13"/>
    </row>
    <row r="76">
      <c r="F76" s="13"/>
      <c r="H76" s="14"/>
      <c r="I76" s="13"/>
      <c r="J76" s="13"/>
      <c r="K76" s="13"/>
      <c r="L76" s="13"/>
      <c r="M76" s="13"/>
      <c r="N76" s="13"/>
    </row>
    <row r="77">
      <c r="F77" s="13"/>
      <c r="H77" s="14"/>
      <c r="I77" s="13"/>
      <c r="J77" s="13"/>
      <c r="K77" s="13"/>
      <c r="L77" s="13"/>
      <c r="M77" s="13"/>
      <c r="N77" s="13"/>
    </row>
    <row r="78">
      <c r="F78" s="13"/>
      <c r="H78" s="14"/>
      <c r="I78" s="13"/>
      <c r="J78" s="13"/>
      <c r="K78" s="13"/>
      <c r="L78" s="13"/>
      <c r="M78" s="13"/>
      <c r="N78" s="13"/>
    </row>
    <row r="79">
      <c r="F79" s="13"/>
      <c r="H79" s="14"/>
      <c r="I79" s="13"/>
      <c r="J79" s="13"/>
      <c r="K79" s="13"/>
      <c r="L79" s="13"/>
      <c r="M79" s="13"/>
      <c r="N79" s="13"/>
    </row>
    <row r="80">
      <c r="F80" s="13"/>
      <c r="H80" s="14"/>
      <c r="I80" s="13"/>
      <c r="J80" s="13"/>
      <c r="K80" s="13"/>
      <c r="L80" s="13"/>
      <c r="M80" s="13"/>
      <c r="N80" s="13"/>
    </row>
    <row r="81">
      <c r="F81" s="13"/>
      <c r="H81" s="14"/>
      <c r="I81" s="13"/>
      <c r="J81" s="13"/>
      <c r="K81" s="13"/>
      <c r="L81" s="13"/>
      <c r="M81" s="13"/>
      <c r="N81" s="13"/>
    </row>
    <row r="82">
      <c r="F82" s="13"/>
      <c r="H82" s="14"/>
      <c r="I82" s="13"/>
      <c r="J82" s="13"/>
      <c r="K82" s="13"/>
      <c r="L82" s="13"/>
      <c r="M82" s="13"/>
      <c r="N82" s="13"/>
    </row>
    <row r="83">
      <c r="F83" s="13"/>
      <c r="H83" s="14"/>
      <c r="I83" s="13"/>
      <c r="J83" s="13"/>
      <c r="K83" s="13"/>
      <c r="L83" s="13"/>
      <c r="M83" s="13"/>
      <c r="N83" s="13"/>
    </row>
    <row r="84">
      <c r="F84" s="13"/>
      <c r="H84" s="14"/>
      <c r="I84" s="13"/>
      <c r="J84" s="13"/>
      <c r="K84" s="13"/>
      <c r="L84" s="13"/>
      <c r="M84" s="13"/>
      <c r="N84" s="13"/>
    </row>
    <row r="85">
      <c r="F85" s="13"/>
      <c r="H85" s="14"/>
      <c r="I85" s="13"/>
      <c r="J85" s="13"/>
      <c r="K85" s="13"/>
      <c r="L85" s="13"/>
      <c r="M85" s="13"/>
      <c r="N85" s="13"/>
    </row>
    <row r="86">
      <c r="F86" s="13"/>
      <c r="H86" s="14"/>
      <c r="I86" s="13"/>
      <c r="J86" s="13"/>
      <c r="K86" s="13"/>
      <c r="L86" s="13"/>
      <c r="M86" s="13"/>
      <c r="N86" s="13"/>
    </row>
    <row r="87">
      <c r="F87" s="13"/>
      <c r="H87" s="14"/>
      <c r="I87" s="13"/>
      <c r="J87" s="13"/>
      <c r="K87" s="13"/>
      <c r="L87" s="13"/>
      <c r="M87" s="13"/>
      <c r="N87" s="13"/>
    </row>
    <row r="88">
      <c r="F88" s="13"/>
      <c r="H88" s="14"/>
      <c r="I88" s="13"/>
      <c r="J88" s="13"/>
      <c r="K88" s="13"/>
      <c r="L88" s="13"/>
      <c r="M88" s="13"/>
      <c r="N88" s="13"/>
    </row>
    <row r="89">
      <c r="F89" s="13"/>
      <c r="H89" s="14"/>
      <c r="I89" s="13"/>
      <c r="J89" s="13"/>
      <c r="K89" s="13"/>
      <c r="L89" s="13"/>
      <c r="M89" s="13"/>
      <c r="N89" s="13"/>
    </row>
    <row r="90">
      <c r="F90" s="13"/>
      <c r="H90" s="14"/>
      <c r="I90" s="13"/>
      <c r="J90" s="13"/>
      <c r="K90" s="13"/>
      <c r="L90" s="13"/>
      <c r="M90" s="13"/>
      <c r="N90" s="13"/>
    </row>
    <row r="91">
      <c r="F91" s="13"/>
      <c r="H91" s="14"/>
      <c r="I91" s="13"/>
      <c r="J91" s="13"/>
      <c r="K91" s="13"/>
      <c r="L91" s="13"/>
      <c r="M91" s="13"/>
      <c r="N91" s="13"/>
    </row>
    <row r="92">
      <c r="F92" s="13"/>
      <c r="H92" s="14"/>
      <c r="I92" s="13"/>
      <c r="J92" s="13"/>
      <c r="K92" s="13"/>
      <c r="L92" s="13"/>
      <c r="M92" s="13"/>
      <c r="N92" s="13"/>
    </row>
    <row r="93">
      <c r="F93" s="13"/>
      <c r="H93" s="14"/>
      <c r="I93" s="13"/>
      <c r="J93" s="13"/>
      <c r="K93" s="13"/>
      <c r="L93" s="13"/>
      <c r="M93" s="13"/>
      <c r="N93" s="13"/>
    </row>
    <row r="94">
      <c r="F94" s="13"/>
      <c r="H94" s="14"/>
      <c r="I94" s="13"/>
      <c r="J94" s="13"/>
      <c r="K94" s="13"/>
      <c r="L94" s="13"/>
      <c r="M94" s="13"/>
      <c r="N94" s="13"/>
    </row>
    <row r="95">
      <c r="F95" s="13"/>
      <c r="H95" s="14"/>
      <c r="I95" s="13"/>
      <c r="J95" s="13"/>
      <c r="K95" s="13"/>
      <c r="L95" s="13"/>
      <c r="M95" s="13"/>
      <c r="N95" s="13"/>
    </row>
    <row r="96">
      <c r="F96" s="13"/>
      <c r="H96" s="14"/>
      <c r="I96" s="13"/>
      <c r="J96" s="13"/>
      <c r="K96" s="13"/>
      <c r="L96" s="13"/>
      <c r="M96" s="13"/>
      <c r="N96" s="13"/>
    </row>
    <row r="97">
      <c r="F97" s="13"/>
      <c r="H97" s="14"/>
      <c r="I97" s="13"/>
      <c r="J97" s="13"/>
      <c r="K97" s="13"/>
      <c r="L97" s="13"/>
      <c r="M97" s="13"/>
      <c r="N97" s="13"/>
    </row>
    <row r="98">
      <c r="F98" s="13"/>
      <c r="H98" s="14"/>
      <c r="I98" s="13"/>
      <c r="J98" s="13"/>
      <c r="K98" s="13"/>
      <c r="L98" s="13"/>
      <c r="M98" s="13"/>
      <c r="N98" s="13"/>
    </row>
    <row r="99">
      <c r="F99" s="13"/>
      <c r="H99" s="14"/>
      <c r="I99" s="13"/>
      <c r="J99" s="13"/>
      <c r="K99" s="13"/>
      <c r="L99" s="13"/>
      <c r="M99" s="13"/>
      <c r="N99" s="13"/>
    </row>
    <row r="100">
      <c r="F100" s="13"/>
      <c r="H100" s="14"/>
      <c r="I100" s="13"/>
      <c r="J100" s="13"/>
      <c r="K100" s="13"/>
      <c r="L100" s="13"/>
      <c r="M100" s="13"/>
      <c r="N100" s="13"/>
    </row>
    <row r="101">
      <c r="F101" s="13"/>
      <c r="H101" s="14"/>
      <c r="I101" s="13"/>
      <c r="J101" s="13"/>
      <c r="K101" s="13"/>
      <c r="L101" s="13"/>
      <c r="M101" s="13"/>
      <c r="N101" s="13"/>
    </row>
    <row r="102">
      <c r="F102" s="13"/>
      <c r="H102" s="14"/>
      <c r="I102" s="13"/>
      <c r="J102" s="13"/>
      <c r="K102" s="13"/>
      <c r="L102" s="13"/>
      <c r="M102" s="13"/>
      <c r="N102" s="13"/>
    </row>
    <row r="103">
      <c r="F103" s="13"/>
      <c r="H103" s="14"/>
      <c r="I103" s="13"/>
      <c r="J103" s="13"/>
      <c r="K103" s="13"/>
      <c r="L103" s="13"/>
      <c r="M103" s="13"/>
      <c r="N103" s="13"/>
    </row>
    <row r="104">
      <c r="F104" s="13"/>
      <c r="H104" s="14"/>
      <c r="I104" s="13"/>
      <c r="J104" s="13"/>
      <c r="K104" s="13"/>
      <c r="L104" s="13"/>
      <c r="M104" s="13"/>
      <c r="N104" s="13"/>
    </row>
    <row r="105">
      <c r="F105" s="13"/>
      <c r="H105" s="14"/>
      <c r="I105" s="13"/>
      <c r="J105" s="13"/>
      <c r="K105" s="13"/>
      <c r="L105" s="13"/>
      <c r="M105" s="13"/>
      <c r="N105" s="13"/>
    </row>
    <row r="106">
      <c r="F106" s="13"/>
      <c r="H106" s="14"/>
      <c r="I106" s="13"/>
      <c r="J106" s="13"/>
      <c r="K106" s="13"/>
      <c r="L106" s="13"/>
      <c r="M106" s="13"/>
      <c r="N106" s="13"/>
    </row>
    <row r="107">
      <c r="F107" s="13"/>
      <c r="H107" s="14"/>
      <c r="I107" s="13"/>
      <c r="J107" s="13"/>
      <c r="K107" s="13"/>
      <c r="L107" s="13"/>
      <c r="M107" s="13"/>
      <c r="N107" s="13"/>
    </row>
    <row r="108">
      <c r="F108" s="13"/>
      <c r="H108" s="14"/>
      <c r="I108" s="13"/>
      <c r="J108" s="13"/>
      <c r="K108" s="13"/>
      <c r="L108" s="13"/>
      <c r="M108" s="13"/>
      <c r="N108" s="13"/>
    </row>
    <row r="109">
      <c r="F109" s="13"/>
      <c r="H109" s="14"/>
      <c r="I109" s="13"/>
      <c r="J109" s="13"/>
      <c r="K109" s="13"/>
      <c r="L109" s="13"/>
      <c r="M109" s="13"/>
      <c r="N109" s="13"/>
    </row>
    <row r="110">
      <c r="F110" s="13"/>
      <c r="H110" s="14"/>
      <c r="I110" s="13"/>
      <c r="J110" s="13"/>
      <c r="K110" s="13"/>
      <c r="L110" s="13"/>
      <c r="M110" s="13"/>
      <c r="N110" s="13"/>
    </row>
    <row r="111">
      <c r="F111" s="13"/>
      <c r="H111" s="14"/>
      <c r="I111" s="13"/>
      <c r="J111" s="13"/>
      <c r="K111" s="13"/>
      <c r="L111" s="13"/>
      <c r="M111" s="13"/>
      <c r="N111" s="13"/>
    </row>
    <row r="112">
      <c r="F112" s="13"/>
      <c r="H112" s="14"/>
      <c r="I112" s="13"/>
      <c r="J112" s="13"/>
      <c r="K112" s="13"/>
      <c r="L112" s="13"/>
      <c r="M112" s="13"/>
      <c r="N112" s="13"/>
    </row>
    <row r="113">
      <c r="F113" s="13"/>
      <c r="H113" s="14"/>
      <c r="I113" s="13"/>
      <c r="J113" s="13"/>
      <c r="K113" s="13"/>
      <c r="L113" s="13"/>
      <c r="M113" s="13"/>
      <c r="N113" s="13"/>
    </row>
    <row r="114">
      <c r="F114" s="13"/>
      <c r="H114" s="14"/>
      <c r="I114" s="13"/>
      <c r="J114" s="13"/>
      <c r="K114" s="13"/>
      <c r="L114" s="13"/>
      <c r="M114" s="13"/>
      <c r="N114" s="13"/>
    </row>
    <row r="115">
      <c r="F115" s="13"/>
      <c r="H115" s="14"/>
      <c r="I115" s="13"/>
      <c r="J115" s="13"/>
      <c r="K115" s="13"/>
      <c r="L115" s="13"/>
      <c r="M115" s="13"/>
      <c r="N115" s="13"/>
    </row>
    <row r="116">
      <c r="F116" s="13"/>
      <c r="H116" s="14"/>
      <c r="I116" s="13"/>
      <c r="J116" s="13"/>
      <c r="K116" s="13"/>
      <c r="L116" s="13"/>
      <c r="M116" s="13"/>
      <c r="N116" s="13"/>
    </row>
    <row r="117">
      <c r="F117" s="13"/>
      <c r="H117" s="14"/>
      <c r="I117" s="13"/>
      <c r="J117" s="13"/>
      <c r="K117" s="13"/>
      <c r="L117" s="13"/>
      <c r="M117" s="13"/>
      <c r="N117" s="13"/>
    </row>
    <row r="118">
      <c r="F118" s="13"/>
      <c r="H118" s="14"/>
      <c r="I118" s="13"/>
      <c r="J118" s="13"/>
      <c r="K118" s="13"/>
      <c r="L118" s="13"/>
      <c r="M118" s="13"/>
      <c r="N118" s="13"/>
    </row>
    <row r="119">
      <c r="F119" s="13"/>
      <c r="H119" s="14"/>
      <c r="I119" s="13"/>
      <c r="J119" s="13"/>
      <c r="K119" s="13"/>
      <c r="L119" s="13"/>
      <c r="M119" s="13"/>
      <c r="N119" s="13"/>
    </row>
    <row r="120">
      <c r="F120" s="13"/>
      <c r="H120" s="14"/>
      <c r="I120" s="13"/>
      <c r="J120" s="13"/>
      <c r="K120" s="13"/>
      <c r="L120" s="13"/>
      <c r="M120" s="13"/>
      <c r="N120" s="13"/>
    </row>
    <row r="121">
      <c r="F121" s="13"/>
      <c r="H121" s="14"/>
      <c r="I121" s="13"/>
      <c r="J121" s="13"/>
      <c r="K121" s="13"/>
      <c r="L121" s="13"/>
      <c r="M121" s="13"/>
      <c r="N121" s="13"/>
    </row>
    <row r="122">
      <c r="F122" s="13"/>
      <c r="H122" s="14"/>
      <c r="I122" s="13"/>
      <c r="J122" s="13"/>
      <c r="K122" s="13"/>
      <c r="L122" s="13"/>
      <c r="M122" s="13"/>
      <c r="N122" s="13"/>
    </row>
    <row r="123">
      <c r="F123" s="13"/>
      <c r="H123" s="14"/>
      <c r="I123" s="13"/>
      <c r="J123" s="13"/>
      <c r="K123" s="13"/>
      <c r="L123" s="13"/>
      <c r="M123" s="13"/>
      <c r="N123" s="13"/>
    </row>
    <row r="124">
      <c r="F124" s="13"/>
      <c r="H124" s="14"/>
      <c r="I124" s="13"/>
      <c r="J124" s="13"/>
      <c r="K124" s="13"/>
      <c r="L124" s="13"/>
      <c r="M124" s="13"/>
      <c r="N124" s="13"/>
    </row>
    <row r="125">
      <c r="F125" s="13"/>
      <c r="H125" s="14"/>
      <c r="I125" s="13"/>
      <c r="J125" s="13"/>
      <c r="K125" s="13"/>
      <c r="L125" s="13"/>
      <c r="M125" s="13"/>
      <c r="N125" s="13"/>
    </row>
    <row r="126">
      <c r="F126" s="13"/>
      <c r="H126" s="14"/>
      <c r="I126" s="13"/>
      <c r="J126" s="13"/>
      <c r="K126" s="13"/>
      <c r="L126" s="13"/>
      <c r="M126" s="13"/>
      <c r="N126" s="13"/>
    </row>
    <row r="127">
      <c r="F127" s="13"/>
      <c r="H127" s="14"/>
      <c r="I127" s="13"/>
      <c r="J127" s="13"/>
      <c r="K127" s="13"/>
      <c r="L127" s="13"/>
      <c r="M127" s="13"/>
      <c r="N127" s="13"/>
    </row>
    <row r="128">
      <c r="F128" s="13"/>
      <c r="H128" s="14"/>
      <c r="I128" s="13"/>
      <c r="J128" s="13"/>
      <c r="K128" s="13"/>
      <c r="L128" s="13"/>
      <c r="M128" s="13"/>
      <c r="N128" s="13"/>
    </row>
    <row r="129">
      <c r="F129" s="13"/>
      <c r="H129" s="14"/>
      <c r="I129" s="13"/>
      <c r="J129" s="13"/>
      <c r="K129" s="13"/>
      <c r="L129" s="13"/>
      <c r="M129" s="13"/>
      <c r="N129" s="13"/>
    </row>
    <row r="130">
      <c r="F130" s="13"/>
      <c r="H130" s="14"/>
      <c r="I130" s="13"/>
      <c r="J130" s="13"/>
      <c r="K130" s="13"/>
      <c r="L130" s="13"/>
      <c r="M130" s="13"/>
      <c r="N130" s="13"/>
    </row>
    <row r="131">
      <c r="F131" s="13"/>
      <c r="H131" s="14"/>
      <c r="I131" s="13"/>
      <c r="J131" s="13"/>
      <c r="K131" s="13"/>
      <c r="L131" s="13"/>
      <c r="M131" s="13"/>
      <c r="N131" s="13"/>
    </row>
    <row r="132">
      <c r="F132" s="13"/>
      <c r="H132" s="14"/>
      <c r="I132" s="13"/>
      <c r="J132" s="13"/>
      <c r="K132" s="13"/>
      <c r="L132" s="13"/>
      <c r="M132" s="13"/>
      <c r="N132" s="13"/>
    </row>
    <row r="133">
      <c r="F133" s="13"/>
      <c r="H133" s="14"/>
      <c r="I133" s="13"/>
      <c r="J133" s="13"/>
      <c r="K133" s="13"/>
      <c r="L133" s="13"/>
      <c r="M133" s="13"/>
      <c r="N133" s="13"/>
    </row>
    <row r="134">
      <c r="F134" s="13"/>
      <c r="H134" s="14"/>
      <c r="I134" s="13"/>
      <c r="J134" s="13"/>
      <c r="K134" s="13"/>
      <c r="L134" s="13"/>
      <c r="M134" s="13"/>
      <c r="N134" s="13"/>
    </row>
    <row r="135">
      <c r="F135" s="13"/>
      <c r="H135" s="14"/>
      <c r="I135" s="13"/>
      <c r="J135" s="13"/>
      <c r="K135" s="13"/>
      <c r="L135" s="13"/>
      <c r="M135" s="13"/>
      <c r="N135" s="13"/>
    </row>
    <row r="136">
      <c r="F136" s="13"/>
      <c r="H136" s="14"/>
      <c r="I136" s="13"/>
      <c r="J136" s="13"/>
      <c r="K136" s="13"/>
      <c r="L136" s="13"/>
      <c r="M136" s="13"/>
      <c r="N136" s="13"/>
    </row>
    <row r="137">
      <c r="F137" s="13"/>
      <c r="H137" s="14"/>
      <c r="I137" s="13"/>
      <c r="J137" s="13"/>
      <c r="K137" s="13"/>
      <c r="L137" s="13"/>
      <c r="M137" s="13"/>
      <c r="N137" s="13"/>
    </row>
    <row r="138">
      <c r="F138" s="13"/>
      <c r="H138" s="14"/>
      <c r="I138" s="13"/>
      <c r="J138" s="13"/>
      <c r="K138" s="13"/>
      <c r="L138" s="13"/>
      <c r="M138" s="13"/>
      <c r="N138" s="13"/>
    </row>
    <row r="139">
      <c r="F139" s="13"/>
      <c r="H139" s="14"/>
      <c r="I139" s="13"/>
      <c r="J139" s="13"/>
      <c r="K139" s="13"/>
      <c r="L139" s="13"/>
      <c r="M139" s="13"/>
      <c r="N139" s="13"/>
    </row>
    <row r="140">
      <c r="F140" s="13"/>
      <c r="H140" s="14"/>
      <c r="I140" s="13"/>
      <c r="J140" s="13"/>
      <c r="K140" s="13"/>
      <c r="L140" s="13"/>
      <c r="M140" s="13"/>
      <c r="N140" s="13"/>
    </row>
    <row r="141">
      <c r="F141" s="13"/>
      <c r="H141" s="14"/>
      <c r="I141" s="13"/>
      <c r="J141" s="13"/>
      <c r="K141" s="13"/>
      <c r="L141" s="13"/>
      <c r="M141" s="13"/>
      <c r="N141" s="13"/>
    </row>
    <row r="142">
      <c r="F142" s="13"/>
      <c r="H142" s="14"/>
      <c r="I142" s="13"/>
      <c r="J142" s="13"/>
      <c r="K142" s="13"/>
      <c r="L142" s="13"/>
      <c r="M142" s="13"/>
      <c r="N142" s="13"/>
    </row>
    <row r="143">
      <c r="F143" s="13"/>
      <c r="H143" s="14"/>
      <c r="I143" s="13"/>
      <c r="J143" s="13"/>
      <c r="K143" s="13"/>
      <c r="L143" s="13"/>
      <c r="M143" s="13"/>
      <c r="N143" s="13"/>
    </row>
    <row r="144">
      <c r="F144" s="13"/>
      <c r="H144" s="14"/>
      <c r="I144" s="13"/>
      <c r="J144" s="13"/>
      <c r="K144" s="13"/>
      <c r="L144" s="13"/>
      <c r="M144" s="13"/>
      <c r="N144" s="13"/>
    </row>
    <row r="145">
      <c r="F145" s="13"/>
      <c r="H145" s="14"/>
      <c r="I145" s="13"/>
      <c r="J145" s="13"/>
      <c r="K145" s="13"/>
      <c r="L145" s="13"/>
      <c r="M145" s="13"/>
      <c r="N145" s="13"/>
    </row>
    <row r="146">
      <c r="F146" s="13"/>
      <c r="H146" s="14"/>
      <c r="I146" s="13"/>
      <c r="J146" s="13"/>
      <c r="K146" s="13"/>
      <c r="L146" s="13"/>
      <c r="M146" s="13"/>
      <c r="N146" s="13"/>
    </row>
    <row r="147">
      <c r="F147" s="13"/>
      <c r="H147" s="14"/>
      <c r="I147" s="13"/>
      <c r="J147" s="13"/>
      <c r="K147" s="13"/>
      <c r="L147" s="13"/>
      <c r="M147" s="13"/>
      <c r="N147" s="13"/>
    </row>
    <row r="148">
      <c r="F148" s="13"/>
      <c r="H148" s="14"/>
      <c r="I148" s="13"/>
      <c r="J148" s="13"/>
      <c r="K148" s="13"/>
      <c r="L148" s="13"/>
      <c r="M148" s="13"/>
      <c r="N148" s="13"/>
    </row>
    <row r="149">
      <c r="F149" s="13"/>
      <c r="H149" s="14"/>
      <c r="I149" s="13"/>
      <c r="J149" s="13"/>
      <c r="K149" s="13"/>
      <c r="L149" s="13"/>
      <c r="M149" s="13"/>
      <c r="N149" s="13"/>
    </row>
    <row r="150">
      <c r="F150" s="13"/>
      <c r="H150" s="14"/>
      <c r="I150" s="13"/>
      <c r="J150" s="13"/>
      <c r="K150" s="13"/>
      <c r="L150" s="13"/>
      <c r="M150" s="13"/>
      <c r="N150" s="13"/>
    </row>
    <row r="151">
      <c r="F151" s="13"/>
      <c r="H151" s="14"/>
      <c r="I151" s="13"/>
      <c r="J151" s="13"/>
      <c r="K151" s="13"/>
      <c r="L151" s="13"/>
      <c r="M151" s="13"/>
      <c r="N151" s="13"/>
    </row>
    <row r="152">
      <c r="F152" s="13"/>
      <c r="H152" s="14"/>
      <c r="I152" s="13"/>
      <c r="J152" s="13"/>
      <c r="K152" s="13"/>
      <c r="L152" s="13"/>
      <c r="M152" s="13"/>
      <c r="N152" s="13"/>
    </row>
    <row r="153">
      <c r="F153" s="13"/>
      <c r="H153" s="14"/>
      <c r="I153" s="13"/>
      <c r="J153" s="13"/>
      <c r="K153" s="13"/>
      <c r="L153" s="13"/>
      <c r="M153" s="13"/>
      <c r="N153" s="13"/>
    </row>
    <row r="154">
      <c r="F154" s="13"/>
      <c r="H154" s="14"/>
      <c r="I154" s="13"/>
      <c r="J154" s="13"/>
      <c r="K154" s="13"/>
      <c r="L154" s="13"/>
      <c r="M154" s="13"/>
      <c r="N154" s="13"/>
    </row>
    <row r="155">
      <c r="F155" s="13"/>
      <c r="H155" s="14"/>
      <c r="I155" s="13"/>
      <c r="J155" s="13"/>
      <c r="K155" s="13"/>
      <c r="L155" s="13"/>
      <c r="M155" s="13"/>
      <c r="N155" s="13"/>
    </row>
    <row r="156">
      <c r="F156" s="13"/>
      <c r="H156" s="14"/>
      <c r="I156" s="13"/>
      <c r="J156" s="13"/>
      <c r="K156" s="13"/>
      <c r="L156" s="13"/>
      <c r="M156" s="13"/>
      <c r="N156" s="13"/>
    </row>
    <row r="157">
      <c r="F157" s="13"/>
      <c r="H157" s="14"/>
      <c r="I157" s="13"/>
      <c r="J157" s="13"/>
      <c r="K157" s="13"/>
      <c r="L157" s="13"/>
      <c r="M157" s="13"/>
      <c r="N157" s="13"/>
    </row>
    <row r="158">
      <c r="F158" s="13"/>
      <c r="H158" s="14"/>
      <c r="I158" s="13"/>
      <c r="J158" s="13"/>
      <c r="K158" s="13"/>
      <c r="L158" s="13"/>
      <c r="M158" s="13"/>
      <c r="N158" s="13"/>
    </row>
    <row r="159">
      <c r="F159" s="13"/>
      <c r="H159" s="14"/>
      <c r="I159" s="13"/>
      <c r="J159" s="13"/>
      <c r="K159" s="13"/>
      <c r="L159" s="13"/>
      <c r="M159" s="13"/>
      <c r="N159" s="13"/>
    </row>
    <row r="160">
      <c r="F160" s="13"/>
      <c r="H160" s="14"/>
      <c r="I160" s="13"/>
      <c r="J160" s="13"/>
      <c r="K160" s="13"/>
      <c r="L160" s="13"/>
      <c r="M160" s="13"/>
      <c r="N160" s="13"/>
    </row>
    <row r="161">
      <c r="F161" s="13"/>
      <c r="H161" s="14"/>
      <c r="I161" s="13"/>
      <c r="J161" s="13"/>
      <c r="K161" s="13"/>
      <c r="L161" s="13"/>
      <c r="M161" s="13"/>
      <c r="N161" s="13"/>
    </row>
    <row r="162">
      <c r="F162" s="13"/>
      <c r="H162" s="14"/>
      <c r="I162" s="13"/>
      <c r="J162" s="13"/>
      <c r="K162" s="13"/>
      <c r="L162" s="13"/>
      <c r="M162" s="13"/>
      <c r="N162" s="13"/>
    </row>
    <row r="163">
      <c r="F163" s="13"/>
      <c r="H163" s="14"/>
      <c r="I163" s="13"/>
      <c r="J163" s="13"/>
      <c r="K163" s="13"/>
      <c r="L163" s="13"/>
      <c r="M163" s="13"/>
      <c r="N163" s="13"/>
    </row>
    <row r="164">
      <c r="F164" s="13"/>
      <c r="H164" s="14"/>
      <c r="I164" s="13"/>
      <c r="J164" s="13"/>
      <c r="K164" s="13"/>
      <c r="L164" s="13"/>
      <c r="M164" s="13"/>
      <c r="N164" s="13"/>
    </row>
    <row r="165">
      <c r="F165" s="13"/>
      <c r="H165" s="14"/>
      <c r="I165" s="13"/>
      <c r="J165" s="13"/>
      <c r="K165" s="13"/>
      <c r="L165" s="13"/>
      <c r="M165" s="13"/>
      <c r="N165" s="13"/>
    </row>
    <row r="166">
      <c r="F166" s="13"/>
      <c r="H166" s="14"/>
      <c r="I166" s="13"/>
      <c r="J166" s="13"/>
      <c r="K166" s="13"/>
      <c r="L166" s="13"/>
      <c r="M166" s="13"/>
      <c r="N166" s="13"/>
    </row>
    <row r="167">
      <c r="F167" s="13"/>
      <c r="H167" s="14"/>
      <c r="I167" s="13"/>
      <c r="J167" s="13"/>
      <c r="K167" s="13"/>
      <c r="L167" s="13"/>
      <c r="M167" s="13"/>
      <c r="N167" s="13"/>
    </row>
    <row r="168">
      <c r="F168" s="13"/>
      <c r="H168" s="14"/>
      <c r="I168" s="13"/>
      <c r="J168" s="13"/>
      <c r="K168" s="13"/>
      <c r="L168" s="13"/>
      <c r="M168" s="13"/>
      <c r="N168" s="13"/>
    </row>
    <row r="169">
      <c r="F169" s="13"/>
      <c r="H169" s="14"/>
      <c r="I169" s="13"/>
      <c r="J169" s="13"/>
      <c r="K169" s="13"/>
      <c r="L169" s="13"/>
      <c r="M169" s="13"/>
      <c r="N169" s="13"/>
    </row>
    <row r="170">
      <c r="F170" s="13"/>
      <c r="H170" s="14"/>
      <c r="I170" s="13"/>
      <c r="J170" s="13"/>
      <c r="K170" s="13"/>
      <c r="L170" s="13"/>
      <c r="M170" s="13"/>
      <c r="N170" s="13"/>
    </row>
    <row r="171">
      <c r="F171" s="13"/>
      <c r="H171" s="14"/>
      <c r="I171" s="13"/>
      <c r="J171" s="13"/>
      <c r="K171" s="13"/>
      <c r="L171" s="13"/>
      <c r="M171" s="13"/>
      <c r="N171" s="13"/>
    </row>
    <row r="172">
      <c r="F172" s="13"/>
      <c r="H172" s="14"/>
      <c r="I172" s="13"/>
      <c r="J172" s="13"/>
      <c r="K172" s="13"/>
      <c r="L172" s="13"/>
      <c r="M172" s="13"/>
      <c r="N172" s="13"/>
    </row>
    <row r="173">
      <c r="F173" s="13"/>
      <c r="H173" s="14"/>
      <c r="I173" s="13"/>
      <c r="J173" s="13"/>
      <c r="K173" s="13"/>
      <c r="L173" s="13"/>
      <c r="M173" s="13"/>
      <c r="N173" s="13"/>
    </row>
    <row r="174">
      <c r="F174" s="13"/>
      <c r="H174" s="14"/>
      <c r="I174" s="13"/>
      <c r="J174" s="13"/>
      <c r="K174" s="13"/>
      <c r="L174" s="13"/>
      <c r="M174" s="13"/>
      <c r="N174" s="13"/>
    </row>
    <row r="175">
      <c r="F175" s="13"/>
      <c r="H175" s="14"/>
      <c r="I175" s="13"/>
      <c r="J175" s="13"/>
      <c r="K175" s="13"/>
      <c r="L175" s="13"/>
      <c r="M175" s="13"/>
      <c r="N175" s="13"/>
    </row>
    <row r="176">
      <c r="F176" s="13"/>
      <c r="H176" s="14"/>
      <c r="I176" s="13"/>
      <c r="J176" s="13"/>
      <c r="K176" s="13"/>
      <c r="L176" s="13"/>
      <c r="M176" s="13"/>
      <c r="N176" s="13"/>
    </row>
    <row r="177">
      <c r="F177" s="13"/>
      <c r="H177" s="14"/>
      <c r="I177" s="13"/>
      <c r="J177" s="13"/>
      <c r="K177" s="13"/>
      <c r="L177" s="13"/>
      <c r="M177" s="13"/>
      <c r="N177" s="13"/>
    </row>
    <row r="178">
      <c r="F178" s="13"/>
      <c r="H178" s="14"/>
      <c r="I178" s="13"/>
      <c r="J178" s="13"/>
      <c r="K178" s="13"/>
      <c r="L178" s="13"/>
      <c r="M178" s="13"/>
      <c r="N178" s="13"/>
    </row>
    <row r="179">
      <c r="F179" s="13"/>
      <c r="H179" s="14"/>
      <c r="I179" s="13"/>
      <c r="J179" s="13"/>
      <c r="K179" s="13"/>
      <c r="L179" s="13"/>
      <c r="M179" s="13"/>
      <c r="N179" s="13"/>
    </row>
    <row r="180">
      <c r="F180" s="13"/>
      <c r="H180" s="14"/>
      <c r="I180" s="13"/>
      <c r="J180" s="13"/>
      <c r="K180" s="13"/>
      <c r="L180" s="13"/>
      <c r="M180" s="13"/>
      <c r="N180" s="13"/>
    </row>
    <row r="181">
      <c r="F181" s="13"/>
      <c r="H181" s="14"/>
      <c r="I181" s="13"/>
      <c r="J181" s="13"/>
      <c r="K181" s="13"/>
      <c r="L181" s="13"/>
      <c r="M181" s="13"/>
      <c r="N181" s="13"/>
    </row>
    <row r="182">
      <c r="F182" s="13"/>
      <c r="H182" s="14"/>
      <c r="I182" s="13"/>
      <c r="J182" s="13"/>
      <c r="K182" s="13"/>
      <c r="L182" s="13"/>
      <c r="M182" s="13"/>
      <c r="N182" s="13"/>
    </row>
    <row r="183">
      <c r="F183" s="13"/>
      <c r="H183" s="14"/>
      <c r="I183" s="13"/>
      <c r="J183" s="13"/>
      <c r="K183" s="13"/>
      <c r="L183" s="13"/>
      <c r="M183" s="13"/>
      <c r="N183" s="13"/>
    </row>
    <row r="184">
      <c r="F184" s="13"/>
      <c r="H184" s="14"/>
      <c r="I184" s="13"/>
      <c r="J184" s="13"/>
      <c r="K184" s="13"/>
      <c r="L184" s="13"/>
      <c r="M184" s="13"/>
      <c r="N184" s="13"/>
    </row>
    <row r="185">
      <c r="F185" s="13"/>
      <c r="H185" s="14"/>
      <c r="I185" s="13"/>
      <c r="J185" s="13"/>
      <c r="K185" s="13"/>
      <c r="L185" s="13"/>
      <c r="M185" s="13"/>
      <c r="N185" s="13"/>
    </row>
    <row r="186">
      <c r="F186" s="13"/>
      <c r="H186" s="14"/>
      <c r="I186" s="13"/>
      <c r="J186" s="13"/>
      <c r="K186" s="13"/>
      <c r="L186" s="13"/>
      <c r="M186" s="13"/>
      <c r="N186" s="13"/>
    </row>
    <row r="187">
      <c r="F187" s="13"/>
      <c r="H187" s="14"/>
      <c r="I187" s="13"/>
      <c r="J187" s="13"/>
      <c r="K187" s="13"/>
      <c r="L187" s="13"/>
      <c r="M187" s="13"/>
      <c r="N187" s="13"/>
    </row>
    <row r="188">
      <c r="F188" s="13"/>
      <c r="H188" s="14"/>
      <c r="I188" s="13"/>
      <c r="J188" s="13"/>
      <c r="K188" s="13"/>
      <c r="L188" s="13"/>
      <c r="M188" s="13"/>
      <c r="N188" s="13"/>
    </row>
    <row r="189">
      <c r="F189" s="13"/>
      <c r="H189" s="14"/>
      <c r="I189" s="13"/>
      <c r="J189" s="13"/>
      <c r="K189" s="13"/>
      <c r="L189" s="13"/>
      <c r="M189" s="13"/>
      <c r="N189" s="13"/>
    </row>
    <row r="190">
      <c r="F190" s="13"/>
      <c r="H190" s="14"/>
      <c r="I190" s="13"/>
      <c r="J190" s="13"/>
      <c r="K190" s="13"/>
      <c r="L190" s="13"/>
      <c r="M190" s="13"/>
      <c r="N190" s="13"/>
    </row>
    <row r="191">
      <c r="F191" s="13"/>
      <c r="H191" s="14"/>
      <c r="I191" s="13"/>
      <c r="J191" s="13"/>
      <c r="K191" s="13"/>
      <c r="L191" s="13"/>
      <c r="M191" s="13"/>
      <c r="N191" s="13"/>
    </row>
    <row r="192">
      <c r="F192" s="13"/>
      <c r="H192" s="14"/>
      <c r="I192" s="13"/>
      <c r="J192" s="13"/>
      <c r="K192" s="13"/>
      <c r="L192" s="13"/>
      <c r="M192" s="13"/>
      <c r="N192" s="13"/>
    </row>
    <row r="193">
      <c r="F193" s="13"/>
      <c r="H193" s="14"/>
      <c r="I193" s="13"/>
      <c r="J193" s="13"/>
      <c r="K193" s="13"/>
      <c r="L193" s="13"/>
      <c r="M193" s="13"/>
      <c r="N193" s="13"/>
    </row>
    <row r="194">
      <c r="F194" s="13"/>
      <c r="H194" s="14"/>
      <c r="I194" s="13"/>
      <c r="J194" s="13"/>
      <c r="K194" s="13"/>
      <c r="L194" s="13"/>
      <c r="M194" s="13"/>
      <c r="N194" s="13"/>
    </row>
    <row r="195">
      <c r="F195" s="13"/>
      <c r="H195" s="14"/>
      <c r="I195" s="13"/>
      <c r="J195" s="13"/>
      <c r="K195" s="13"/>
      <c r="L195" s="13"/>
      <c r="M195" s="13"/>
      <c r="N195" s="13"/>
    </row>
    <row r="196">
      <c r="F196" s="13"/>
      <c r="H196" s="14"/>
      <c r="I196" s="13"/>
      <c r="J196" s="13"/>
      <c r="K196" s="13"/>
      <c r="L196" s="13"/>
      <c r="M196" s="13"/>
      <c r="N196" s="13"/>
    </row>
    <row r="197">
      <c r="F197" s="13"/>
      <c r="H197" s="14"/>
      <c r="I197" s="13"/>
      <c r="J197" s="13"/>
      <c r="K197" s="13"/>
      <c r="L197" s="13"/>
      <c r="M197" s="13"/>
      <c r="N197" s="13"/>
    </row>
    <row r="198">
      <c r="F198" s="13"/>
      <c r="H198" s="14"/>
      <c r="I198" s="13"/>
      <c r="J198" s="13"/>
      <c r="K198" s="13"/>
      <c r="L198" s="13"/>
      <c r="M198" s="13"/>
      <c r="N198" s="13"/>
    </row>
    <row r="199">
      <c r="F199" s="13"/>
      <c r="H199" s="14"/>
      <c r="I199" s="13"/>
      <c r="J199" s="13"/>
      <c r="K199" s="13"/>
      <c r="L199" s="13"/>
      <c r="M199" s="13"/>
      <c r="N199" s="13"/>
    </row>
    <row r="200">
      <c r="F200" s="13"/>
      <c r="H200" s="14"/>
      <c r="I200" s="13"/>
      <c r="J200" s="13"/>
      <c r="K200" s="13"/>
      <c r="L200" s="13"/>
      <c r="M200" s="13"/>
      <c r="N200" s="13"/>
    </row>
    <row r="201">
      <c r="F201" s="13"/>
      <c r="H201" s="14"/>
      <c r="I201" s="13"/>
      <c r="J201" s="13"/>
      <c r="K201" s="13"/>
      <c r="L201" s="13"/>
      <c r="M201" s="13"/>
      <c r="N201" s="13"/>
    </row>
    <row r="202">
      <c r="F202" s="13"/>
      <c r="H202" s="14"/>
      <c r="I202" s="13"/>
      <c r="J202" s="13"/>
      <c r="K202" s="13"/>
      <c r="L202" s="13"/>
      <c r="M202" s="13"/>
      <c r="N202" s="13"/>
    </row>
    <row r="203">
      <c r="F203" s="13"/>
      <c r="H203" s="14"/>
      <c r="I203" s="13"/>
      <c r="J203" s="13"/>
      <c r="K203" s="13"/>
      <c r="L203" s="13"/>
      <c r="M203" s="13"/>
      <c r="N203" s="13"/>
    </row>
    <row r="204">
      <c r="F204" s="13"/>
      <c r="H204" s="14"/>
      <c r="I204" s="13"/>
      <c r="J204" s="13"/>
      <c r="K204" s="13"/>
      <c r="L204" s="13"/>
      <c r="M204" s="13"/>
      <c r="N204" s="13"/>
    </row>
    <row r="205">
      <c r="F205" s="13"/>
      <c r="H205" s="14"/>
      <c r="I205" s="13"/>
      <c r="J205" s="13"/>
      <c r="K205" s="13"/>
      <c r="L205" s="13"/>
      <c r="M205" s="13"/>
      <c r="N205" s="13"/>
    </row>
    <row r="206">
      <c r="F206" s="13"/>
      <c r="H206" s="14"/>
      <c r="I206" s="13"/>
      <c r="J206" s="13"/>
      <c r="K206" s="13"/>
      <c r="L206" s="13"/>
      <c r="M206" s="13"/>
      <c r="N206" s="13"/>
    </row>
    <row r="207">
      <c r="F207" s="13"/>
      <c r="H207" s="14"/>
      <c r="I207" s="13"/>
      <c r="J207" s="13"/>
      <c r="K207" s="13"/>
      <c r="L207" s="13"/>
      <c r="M207" s="13"/>
      <c r="N207" s="13"/>
    </row>
    <row r="208">
      <c r="F208" s="13"/>
      <c r="H208" s="14"/>
      <c r="I208" s="13"/>
      <c r="J208" s="13"/>
      <c r="K208" s="13"/>
      <c r="L208" s="13"/>
      <c r="M208" s="13"/>
      <c r="N208" s="13"/>
    </row>
    <row r="209">
      <c r="F209" s="13"/>
      <c r="H209" s="14"/>
      <c r="I209" s="13"/>
      <c r="J209" s="13"/>
      <c r="K209" s="13"/>
      <c r="L209" s="13"/>
      <c r="M209" s="13"/>
      <c r="N209" s="13"/>
    </row>
    <row r="210">
      <c r="F210" s="13"/>
      <c r="H210" s="14"/>
      <c r="I210" s="13"/>
      <c r="J210" s="13"/>
      <c r="K210" s="13"/>
      <c r="L210" s="13"/>
      <c r="M210" s="13"/>
      <c r="N210" s="13"/>
    </row>
    <row r="211">
      <c r="F211" s="13"/>
      <c r="H211" s="14"/>
      <c r="I211" s="13"/>
      <c r="J211" s="13"/>
      <c r="K211" s="13"/>
      <c r="L211" s="13"/>
      <c r="M211" s="13"/>
      <c r="N211" s="1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.38"/>
    <col customWidth="1" min="3" max="3" width="3.5"/>
    <col customWidth="1" min="4" max="4" width="0.38"/>
    <col customWidth="1" min="5" max="5" width="3.88"/>
    <col customWidth="1" min="8" max="8" width="15.13"/>
    <col customWidth="1" min="9" max="9" width="19.38"/>
    <col customWidth="1" min="10" max="10" width="18.5"/>
    <col customWidth="1" min="11" max="11" width="17.25"/>
    <col customWidth="1" min="12" max="12" width="15.88"/>
    <col customWidth="1" min="13" max="13" width="14.5"/>
    <col customWidth="1" min="14" max="14" width="16.38"/>
    <col customWidth="1" min="15" max="15" width="7.63"/>
    <col customWidth="1" min="16" max="16" width="7.38"/>
    <col customWidth="1" min="17" max="17" width="8.5"/>
  </cols>
  <sheetData>
    <row r="2">
      <c r="B2" s="1"/>
      <c r="C2" s="1"/>
      <c r="D2" s="1"/>
      <c r="E2" s="1"/>
      <c r="F2" s="1"/>
    </row>
    <row r="3">
      <c r="B3" s="23"/>
      <c r="C3" s="24"/>
      <c r="D3" s="24"/>
      <c r="F3" s="4" t="s">
        <v>1</v>
      </c>
      <c r="G3" s="2" t="s">
        <v>12</v>
      </c>
      <c r="H3" s="2" t="s">
        <v>3</v>
      </c>
      <c r="I3" s="2" t="s">
        <v>4</v>
      </c>
      <c r="J3" s="2" t="s">
        <v>5</v>
      </c>
      <c r="K3" s="2" t="s">
        <v>6</v>
      </c>
      <c r="L3" s="5" t="s">
        <v>7</v>
      </c>
      <c r="M3" s="6" t="s">
        <v>8</v>
      </c>
      <c r="N3" s="7" t="s">
        <v>9</v>
      </c>
      <c r="O3" s="8" t="s">
        <v>65</v>
      </c>
      <c r="P3" s="8" t="s">
        <v>66</v>
      </c>
      <c r="Q3" s="8" t="s">
        <v>67</v>
      </c>
    </row>
    <row r="4">
      <c r="B4" s="13"/>
      <c r="C4" s="13"/>
      <c r="D4" s="13"/>
      <c r="F4" s="8">
        <v>1.0</v>
      </c>
      <c r="G4" s="8">
        <f>'Lån Översikt'!C5</f>
        <v>3750000</v>
      </c>
      <c r="H4" s="9">
        <f>INT(IF(AND('Lån Översikt'!$D$7="JA", 'Lån Översikt'!$D$11="JA", 'Lån Översikt'!$D$8="JA"), ('Lån Översikt'!C5*(('Lån Översikt'!$C$7/100*'Lån Översikt'!$C$11/100)-'Lån Översikt'!$C$8/100))/12, IF(AND('Lån Översikt'!$D$7="JA", 'Lån Översikt'!$D$11="JA", 'Lån Översikt'!$D$8="NEJ"), ('Lån Översikt'!C5*(('Lån Översikt'!$C$7/100*'Lån Översikt'!$C$11/100))/12), 0)))
</f>
        <v>9584</v>
      </c>
      <c r="I4" s="9">
        <f>INT(SUM('Lån Översikt'!C9:'Lån Översikt'!C10)/12)</f>
        <v>4712</v>
      </c>
      <c r="J4" s="9">
        <f>INT((('Lån Översikt'!C5*'Lån Översikt'!C15/100)/12))
</f>
        <v>6250</v>
      </c>
      <c r="K4" s="9">
        <f>INT(('Lån Översikt'!C4*'Lån Översikt'!C14/100)/12)</f>
        <v>4166</v>
      </c>
      <c r="L4" s="8">
        <f>INT(SUM('Lån Översikt'!H4:'Lån Översikt'!K4))</f>
        <v>24712</v>
      </c>
      <c r="M4" s="8">
        <f>(L4 + 'Lån Översikt'!$D$50)</f>
        <v>46661</v>
      </c>
      <c r="N4" s="8">
        <f>('Lån Översikt'!$D$24 - M4)</f>
        <v>3139</v>
      </c>
      <c r="O4" s="11"/>
      <c r="P4" s="11"/>
      <c r="Q4" s="11"/>
    </row>
    <row r="5">
      <c r="B5" s="13"/>
      <c r="C5" s="13"/>
      <c r="D5" s="13"/>
      <c r="F5" s="8">
        <v>2.0</v>
      </c>
      <c r="G5" s="11">
        <f t="shared" ref="G5:G604" si="1">(G4-J4)</f>
        <v>3743750</v>
      </c>
      <c r="H5" s="9">
        <f>INT(IF(AND('Lån Översikt'!$D$7="JA", 'Lån Översikt'!$D$11="JA", 'Lån Översikt'!$D$8="JA"), (G5*(('Lån Översikt'!$C$7/100*'Lån Översikt'!$C$11/100)-'Lån Översikt'!$C$8/100))/12, IF(AND('Lån Översikt'!$D$7="JA", 'Lån Översikt'!$D$11="JA", 'Lån Översikt'!$D$8="NEJ"), (G5*(('Lån Översikt'!$C$7/100*'Lån Översikt'!$C$11/100))/12), 0)))
</f>
        <v>9568</v>
      </c>
      <c r="I5" s="8">
        <f t="shared" ref="I5:I604" si="2">I4</f>
        <v>4712</v>
      </c>
      <c r="J5" s="8">
        <f>IF(AND(P5, O5), 0, IF(O5, INT((('Lån Översikt'!$C$5 * 1 / 100) / 12)), INT((('Lån Översikt'!$C$5 * 'Lån Översikt'!$C$15 / 100) / 12))))
</f>
        <v>6250</v>
      </c>
      <c r="K5" s="8">
        <f t="shared" ref="K5:K604" si="3">K4</f>
        <v>4166</v>
      </c>
      <c r="L5" s="8">
        <f t="shared" ref="L5:L604" si="4">INT(SUM(H5:K5))</f>
        <v>24696</v>
      </c>
      <c r="M5" s="8">
        <f>(L5 + 'Lån Översikt'!$D$50)</f>
        <v>46645</v>
      </c>
      <c r="N5" s="8">
        <f>IF('Lån Översikt'!$D$22 = "JA", 
    IF(Q5 = TRUE, 'Lån Översikt'!$D$24 - M5, 'Lån Översikt'!$D$24 - M5 + 18300), 
    'Lån Översikt'!$D$24 - M5)
</f>
        <v>3155</v>
      </c>
      <c r="O5" s="25" t="b">
        <f t="shared" ref="O5:O604" si="5">IF(G5 &lt; 0.7*$G$4,TRUE, FALSE)</f>
        <v>0</v>
      </c>
      <c r="P5" s="26" t="b">
        <f t="shared" ref="P5:P604" si="6">IF(G5 &lt; 0.5*$G$4,TRUE, FALSE)</f>
        <v>0</v>
      </c>
      <c r="Q5" s="27" t="b">
        <f t="shared" ref="Q5:Q21" si="7">IF(F4 &lt; 7,TRUE, FALSE)</f>
        <v>1</v>
      </c>
    </row>
    <row r="6">
      <c r="B6" s="13"/>
      <c r="C6" s="13"/>
      <c r="D6" s="13"/>
      <c r="F6" s="8">
        <v>3.0</v>
      </c>
      <c r="G6" s="11">
        <f t="shared" si="1"/>
        <v>3737500</v>
      </c>
      <c r="H6" s="9">
        <f>INT(IF(AND('Lån Översikt'!$D$7="JA", 'Lån Översikt'!$D$11="JA", 'Lån Översikt'!$D$8="JA"), (G6*(('Lån Översikt'!$C$7/100*'Lån Översikt'!$C$11/100)-'Lån Översikt'!$C$8/100))/12, IF(AND('Lån Översikt'!$D$7="JA", 'Lån Översikt'!$D$11="JA", 'Lån Översikt'!$D$8="NEJ"), (G6*(('Lån Översikt'!$C$7/100*'Lån Översikt'!$C$11/100))/12), 0)))
</f>
        <v>9552</v>
      </c>
      <c r="I6" s="8">
        <f t="shared" si="2"/>
        <v>4712</v>
      </c>
      <c r="J6" s="8">
        <f>IF(AND(P6, O6), 0, IF(O6, INT((('Lån Översikt'!$C$5 * 1 / 100) / 12)), INT((('Lån Översikt'!$C$5 * 'Lån Översikt'!$C$15 / 100) / 12))))
</f>
        <v>6250</v>
      </c>
      <c r="K6" s="8">
        <f t="shared" si="3"/>
        <v>4166</v>
      </c>
      <c r="L6" s="8">
        <f t="shared" si="4"/>
        <v>24680</v>
      </c>
      <c r="M6" s="8">
        <f>(L6 + 'Lån Översikt'!$D$50)</f>
        <v>46629</v>
      </c>
      <c r="N6" s="8">
        <f>IF('Lån Översikt'!$D$22 = "JA", 
    IF(Q6 = TRUE, 'Lån Översikt'!$D$24 - M6, 'Lån Översikt'!$D$24 - M6 + 18300), 
    'Lån Översikt'!$D$24 - M6)
</f>
        <v>3171</v>
      </c>
      <c r="O6" s="25" t="b">
        <f t="shared" si="5"/>
        <v>0</v>
      </c>
      <c r="P6" s="26" t="b">
        <f t="shared" si="6"/>
        <v>0</v>
      </c>
      <c r="Q6" s="27" t="b">
        <f t="shared" si="7"/>
        <v>1</v>
      </c>
    </row>
    <row r="7">
      <c r="B7" s="13"/>
      <c r="C7" s="13"/>
      <c r="D7" s="13"/>
      <c r="F7" s="8">
        <v>4.0</v>
      </c>
      <c r="G7" s="11">
        <f t="shared" si="1"/>
        <v>3731250</v>
      </c>
      <c r="H7" s="9">
        <f>INT(IF(AND('Lån Översikt'!$D$7="JA", 'Lån Översikt'!$D$11="JA", 'Lån Översikt'!$D$8="JA"), (G7*(('Lån Översikt'!$C$7/100*'Lån Översikt'!$C$11/100)-'Lån Översikt'!$C$8/100))/12, IF(AND('Lån Översikt'!$D$7="JA", 'Lån Översikt'!$D$11="JA", 'Lån Översikt'!$D$8="NEJ"), (G7*(('Lån Översikt'!$C$7/100*'Lån Översikt'!$C$11/100))/12), 0)))
</f>
        <v>9536</v>
      </c>
      <c r="I7" s="8">
        <f t="shared" si="2"/>
        <v>4712</v>
      </c>
      <c r="J7" s="8">
        <f>IF(AND(P7, O7), 0, IF(O7, INT((('Lån Översikt'!$C$5 * 1 / 100) / 12)), INT((('Lån Översikt'!$C$5 * 'Lån Översikt'!$C$15 / 100) / 12))))
</f>
        <v>6250</v>
      </c>
      <c r="K7" s="8">
        <f t="shared" si="3"/>
        <v>4166</v>
      </c>
      <c r="L7" s="8">
        <f t="shared" si="4"/>
        <v>24664</v>
      </c>
      <c r="M7" s="8">
        <f>(L7 + 'Lån Översikt'!$D$50)</f>
        <v>46613</v>
      </c>
      <c r="N7" s="8">
        <f>IF('Lån Översikt'!$D$22 = "JA", 
    IF(Q7 = TRUE, 'Lån Översikt'!$D$24 - M7, 'Lån Översikt'!$D$24 - M7 + 18300), 
    'Lån Översikt'!$D$24 - M7)
</f>
        <v>3187</v>
      </c>
      <c r="O7" s="25" t="b">
        <f t="shared" si="5"/>
        <v>0</v>
      </c>
      <c r="P7" s="26" t="b">
        <f t="shared" si="6"/>
        <v>0</v>
      </c>
      <c r="Q7" s="27" t="b">
        <f t="shared" si="7"/>
        <v>1</v>
      </c>
    </row>
    <row r="8">
      <c r="B8" s="13"/>
      <c r="C8" s="13"/>
      <c r="D8" s="13"/>
      <c r="F8" s="8">
        <v>5.0</v>
      </c>
      <c r="G8" s="11">
        <f t="shared" si="1"/>
        <v>3725000</v>
      </c>
      <c r="H8" s="9">
        <f>INT(IF(AND('Lån Översikt'!$D$7="JA", 'Lån Översikt'!$D$11="JA", 'Lån Översikt'!$D$8="JA"), (G8*(('Lån Översikt'!$C$7/100*'Lån Översikt'!$C$11/100)-'Lån Översikt'!$C$8/100))/12, IF(AND('Lån Översikt'!$D$7="JA", 'Lån Översikt'!$D$11="JA", 'Lån Översikt'!$D$8="NEJ"), (G8*(('Lån Översikt'!$C$7/100*'Lån Översikt'!$C$11/100))/12), 0)))
</f>
        <v>9520</v>
      </c>
      <c r="I8" s="8">
        <f t="shared" si="2"/>
        <v>4712</v>
      </c>
      <c r="J8" s="8">
        <f>IF(AND(P8, O8), 0, IF(O8, INT((('Lån Översikt'!$C$5 * 1 / 100) / 12)), INT((('Lån Översikt'!$C$5 * 'Lån Översikt'!$C$15 / 100) / 12))))
</f>
        <v>6250</v>
      </c>
      <c r="K8" s="8">
        <f t="shared" si="3"/>
        <v>4166</v>
      </c>
      <c r="L8" s="8">
        <f t="shared" si="4"/>
        <v>24648</v>
      </c>
      <c r="M8" s="8">
        <f>(L8 + 'Lån Översikt'!$D$50)</f>
        <v>46597</v>
      </c>
      <c r="N8" s="8">
        <f>IF('Lån Översikt'!$D$22 = "JA", 
    IF(Q8 = TRUE, 'Lån Översikt'!$D$24 - M8, 'Lån Översikt'!$D$24 - M8 + 18300), 
    'Lån Översikt'!$D$24 - M8)
</f>
        <v>3203</v>
      </c>
      <c r="O8" s="25" t="b">
        <f t="shared" si="5"/>
        <v>0</v>
      </c>
      <c r="P8" s="26" t="b">
        <f t="shared" si="6"/>
        <v>0</v>
      </c>
      <c r="Q8" s="27" t="b">
        <f t="shared" si="7"/>
        <v>1</v>
      </c>
    </row>
    <row r="9">
      <c r="B9" s="13"/>
      <c r="C9" s="13"/>
      <c r="D9" s="13"/>
      <c r="F9" s="8">
        <v>6.0</v>
      </c>
      <c r="G9" s="11">
        <f t="shared" si="1"/>
        <v>3718750</v>
      </c>
      <c r="H9" s="9">
        <f>INT(IF(AND('Lån Översikt'!$D$7="JA", 'Lån Översikt'!$D$11="JA", 'Lån Översikt'!$D$8="JA"), (G9*(('Lån Översikt'!$C$7/100*'Lån Översikt'!$C$11/100)-'Lån Översikt'!$C$8/100))/12, IF(AND('Lån Översikt'!$D$7="JA", 'Lån Översikt'!$D$11="JA", 'Lån Översikt'!$D$8="NEJ"), (G9*(('Lån Översikt'!$C$7/100*'Lån Översikt'!$C$11/100))/12), 0)))
</f>
        <v>9504</v>
      </c>
      <c r="I9" s="8">
        <f t="shared" si="2"/>
        <v>4712</v>
      </c>
      <c r="J9" s="8">
        <f>IF(AND(P9, O9), 0, IF(O9, INT((('Lån Översikt'!$C$5 * 1 / 100) / 12)), INT((('Lån Översikt'!$C$5 * 'Lån Översikt'!$C$15 / 100) / 12))))
</f>
        <v>6250</v>
      </c>
      <c r="K9" s="8">
        <f t="shared" si="3"/>
        <v>4166</v>
      </c>
      <c r="L9" s="8">
        <f t="shared" si="4"/>
        <v>24632</v>
      </c>
      <c r="M9" s="8">
        <f>(L9 + 'Lån Översikt'!$D$50)</f>
        <v>46581</v>
      </c>
      <c r="N9" s="8">
        <f>IF('Lån Översikt'!$D$22 = "JA", 
    IF(Q9 = TRUE, 'Lån Översikt'!$D$24 - M9, 'Lån Översikt'!$D$24 - M9 + 18300), 
    'Lån Översikt'!$D$24 - M9)
</f>
        <v>3219</v>
      </c>
      <c r="O9" s="25" t="b">
        <f t="shared" si="5"/>
        <v>0</v>
      </c>
      <c r="P9" s="26" t="b">
        <f t="shared" si="6"/>
        <v>0</v>
      </c>
      <c r="Q9" s="27" t="b">
        <f t="shared" si="7"/>
        <v>1</v>
      </c>
    </row>
    <row r="10">
      <c r="B10" s="13"/>
      <c r="C10" s="13"/>
      <c r="D10" s="13"/>
      <c r="F10" s="8">
        <v>7.0</v>
      </c>
      <c r="G10" s="11">
        <f t="shared" si="1"/>
        <v>3712500</v>
      </c>
      <c r="H10" s="9">
        <f>INT(IF(AND('Lån Översikt'!$D$7="JA", 'Lån Översikt'!$D$11="JA", 'Lån Översikt'!$D$8="JA"), (G10*(('Lån Översikt'!$C$7/100*'Lån Översikt'!$C$11/100)-'Lån Översikt'!$C$8/100))/12, IF(AND('Lån Översikt'!$D$7="JA", 'Lån Översikt'!$D$11="JA", 'Lån Översikt'!$D$8="NEJ"), (G10*(('Lån Översikt'!$C$7/100*'Lån Översikt'!$C$11/100))/12), 0)))
</f>
        <v>9488</v>
      </c>
      <c r="I10" s="8">
        <f t="shared" si="2"/>
        <v>4712</v>
      </c>
      <c r="J10" s="8">
        <f>IF(AND(P10, O10), 0, IF(O10, INT((('Lån Översikt'!$C$5 * 1 / 100) / 12)), INT((('Lån Översikt'!$C$5 * 'Lån Översikt'!$C$15 / 100) / 12))))
</f>
        <v>6250</v>
      </c>
      <c r="K10" s="8">
        <f t="shared" si="3"/>
        <v>4166</v>
      </c>
      <c r="L10" s="8">
        <f t="shared" si="4"/>
        <v>24616</v>
      </c>
      <c r="M10" s="8">
        <f>(L10 + 'Lån Översikt'!$D$50)</f>
        <v>46565</v>
      </c>
      <c r="N10" s="8">
        <f>IF('Lån Översikt'!$D$22 = "JA", 
    IF(Q10 = TRUE, 'Lån Översikt'!$D$24 - M10, 'Lån Översikt'!$D$24 - M10 + 18300), 
    'Lån Översikt'!$D$24 - M10)
</f>
        <v>3235</v>
      </c>
      <c r="O10" s="25" t="b">
        <f t="shared" si="5"/>
        <v>0</v>
      </c>
      <c r="P10" s="26" t="b">
        <f t="shared" si="6"/>
        <v>0</v>
      </c>
      <c r="Q10" s="27" t="b">
        <f t="shared" si="7"/>
        <v>1</v>
      </c>
    </row>
    <row r="11">
      <c r="B11" s="13"/>
      <c r="C11" s="13"/>
      <c r="D11" s="13"/>
      <c r="F11" s="8">
        <v>8.0</v>
      </c>
      <c r="G11" s="11">
        <f t="shared" si="1"/>
        <v>3706250</v>
      </c>
      <c r="H11" s="9">
        <f>INT(IF(AND('Lån Översikt'!$D$7="JA", 'Lån Översikt'!$D$11="JA", 'Lån Översikt'!$D$8="JA"), (G11*(('Lån Översikt'!$C$7/100*'Lån Översikt'!$C$11/100)-'Lån Översikt'!$C$8/100))/12, IF(AND('Lån Översikt'!$D$7="JA", 'Lån Översikt'!$D$11="JA", 'Lån Översikt'!$D$8="NEJ"), (G11*(('Lån Översikt'!$C$7/100*'Lån Översikt'!$C$11/100))/12), 0)))
</f>
        <v>9472</v>
      </c>
      <c r="I11" s="8">
        <f t="shared" si="2"/>
        <v>4712</v>
      </c>
      <c r="J11" s="8">
        <f>IF(AND(P11, O11), 0, IF(O11, INT((('Lån Översikt'!$C$5 * 1 / 100) / 12)), INT((('Lån Översikt'!$C$5 * 'Lån Översikt'!$C$15 / 100) / 12))))
</f>
        <v>6250</v>
      </c>
      <c r="K11" s="8">
        <f t="shared" si="3"/>
        <v>4166</v>
      </c>
      <c r="L11" s="8">
        <f t="shared" si="4"/>
        <v>24600</v>
      </c>
      <c r="M11" s="8">
        <f>(L11 + 'Lån Översikt'!$D$50)</f>
        <v>46549</v>
      </c>
      <c r="N11" s="8">
        <f>IF('Lån Översikt'!$D$22 = "JA", 
    IF(Q11 = TRUE, 'Lån Översikt'!$D$24 - M11, 'Lån Översikt'!$D$24 - M11 + 18300), 
    'Lån Översikt'!$D$24 - M11)
</f>
        <v>3251</v>
      </c>
      <c r="O11" s="25" t="b">
        <f t="shared" si="5"/>
        <v>0</v>
      </c>
      <c r="P11" s="26" t="b">
        <f t="shared" si="6"/>
        <v>0</v>
      </c>
      <c r="Q11" s="27" t="b">
        <f t="shared" si="7"/>
        <v>0</v>
      </c>
    </row>
    <row r="12">
      <c r="B12" s="13"/>
      <c r="C12" s="13"/>
      <c r="D12" s="13"/>
      <c r="F12" s="8">
        <v>9.0</v>
      </c>
      <c r="G12" s="11">
        <f t="shared" si="1"/>
        <v>3700000</v>
      </c>
      <c r="H12" s="9">
        <f>INT(IF(AND('Lån Översikt'!$D$7="JA", 'Lån Översikt'!$D$11="JA", 'Lån Översikt'!$D$8="JA"), (G12*(('Lån Översikt'!$C$7/100*'Lån Översikt'!$C$11/100)-'Lån Översikt'!$C$8/100))/12, IF(AND('Lån Översikt'!$D$7="JA", 'Lån Översikt'!$D$11="JA", 'Lån Översikt'!$D$8="NEJ"), (G12*(('Lån Översikt'!$C$7/100*'Lån Översikt'!$C$11/100))/12), 0)))
</f>
        <v>9456</v>
      </c>
      <c r="I12" s="8">
        <f t="shared" si="2"/>
        <v>4712</v>
      </c>
      <c r="J12" s="8">
        <f>IF(AND(P12, O12), 0, IF(O12, INT((('Lån Översikt'!$C$5 * 1 / 100) / 12)), INT((('Lån Översikt'!$C$5 * 'Lån Översikt'!$C$15 / 100) / 12))))
</f>
        <v>6250</v>
      </c>
      <c r="K12" s="8">
        <f t="shared" si="3"/>
        <v>4166</v>
      </c>
      <c r="L12" s="8">
        <f t="shared" si="4"/>
        <v>24584</v>
      </c>
      <c r="M12" s="8">
        <f>(L12 + 'Lån Översikt'!$D$50)</f>
        <v>46533</v>
      </c>
      <c r="N12" s="8">
        <f>IF('Lån Översikt'!$D$22 = "JA", 
    IF(Q12 = TRUE, 'Lån Översikt'!$D$24 - M12, 'Lån Översikt'!$D$24 - M12 + 18300), 
    'Lån Översikt'!$D$24 - M12)
</f>
        <v>3267</v>
      </c>
      <c r="O12" s="25" t="b">
        <f t="shared" si="5"/>
        <v>0</v>
      </c>
      <c r="P12" s="26" t="b">
        <f t="shared" si="6"/>
        <v>0</v>
      </c>
      <c r="Q12" s="27" t="b">
        <f t="shared" si="7"/>
        <v>0</v>
      </c>
    </row>
    <row r="13">
      <c r="B13" s="13"/>
      <c r="C13" s="13"/>
      <c r="D13" s="13"/>
      <c r="F13" s="8">
        <v>10.0</v>
      </c>
      <c r="G13" s="11">
        <f t="shared" si="1"/>
        <v>3693750</v>
      </c>
      <c r="H13" s="9">
        <f>INT(IF(AND('Lån Översikt'!$D$7="JA", 'Lån Översikt'!$D$11="JA", 'Lån Översikt'!$D$8="JA"), (G13*(('Lån Översikt'!$C$7/100*'Lån Översikt'!$C$11/100)-'Lån Översikt'!$C$8/100))/12, IF(AND('Lån Översikt'!$D$7="JA", 'Lån Översikt'!$D$11="JA", 'Lån Översikt'!$D$8="NEJ"), (G13*(('Lån Översikt'!$C$7/100*'Lån Översikt'!$C$11/100))/12), 0)))
</f>
        <v>9440</v>
      </c>
      <c r="I13" s="8">
        <f t="shared" si="2"/>
        <v>4712</v>
      </c>
      <c r="J13" s="8">
        <f>IF(AND(P13, O13), 0, IF(O13, INT((('Lån Översikt'!$C$5 * 1 / 100) / 12)), INT((('Lån Översikt'!$C$5 * 'Lån Översikt'!$C$15 / 100) / 12))))
</f>
        <v>6250</v>
      </c>
      <c r="K13" s="8">
        <f t="shared" si="3"/>
        <v>4166</v>
      </c>
      <c r="L13" s="8">
        <f t="shared" si="4"/>
        <v>24568</v>
      </c>
      <c r="M13" s="8">
        <f>(L13 + 'Lån Översikt'!$D$50)</f>
        <v>46517</v>
      </c>
      <c r="N13" s="8">
        <f>IF('Lån Översikt'!$D$22 = "JA", 
    IF(Q13 = TRUE, 'Lån Översikt'!$D$24 - M13, 'Lån Översikt'!$D$24 - M13 + 18300), 
    'Lån Översikt'!$D$24 - M13)
</f>
        <v>3283</v>
      </c>
      <c r="O13" s="25" t="b">
        <f t="shared" si="5"/>
        <v>0</v>
      </c>
      <c r="P13" s="26" t="b">
        <f t="shared" si="6"/>
        <v>0</v>
      </c>
      <c r="Q13" s="27" t="b">
        <f t="shared" si="7"/>
        <v>0</v>
      </c>
    </row>
    <row r="14">
      <c r="B14" s="13"/>
      <c r="C14" s="13"/>
      <c r="D14" s="13"/>
      <c r="F14" s="8">
        <v>11.0</v>
      </c>
      <c r="G14" s="11">
        <f t="shared" si="1"/>
        <v>3687500</v>
      </c>
      <c r="H14" s="9">
        <f>INT(IF(AND('Lån Översikt'!$D$7="JA", 'Lån Översikt'!$D$11="JA", 'Lån Översikt'!$D$8="JA"), (G14*(('Lån Översikt'!$C$7/100*'Lån Översikt'!$C$11/100)-'Lån Översikt'!$C$8/100))/12, IF(AND('Lån Översikt'!$D$7="JA", 'Lån Översikt'!$D$11="JA", 'Lån Översikt'!$D$8="NEJ"), (G14*(('Lån Översikt'!$C$7/100*'Lån Översikt'!$C$11/100))/12), 0)))
</f>
        <v>9424</v>
      </c>
      <c r="I14" s="8">
        <f t="shared" si="2"/>
        <v>4712</v>
      </c>
      <c r="J14" s="8">
        <f>IF(AND(P14, O14), 0, IF(O14, INT((('Lån Översikt'!$C$5 * 1 / 100) / 12)), INT((('Lån Översikt'!$C$5 * 'Lån Översikt'!$C$15 / 100) / 12))))
</f>
        <v>6250</v>
      </c>
      <c r="K14" s="8">
        <f t="shared" si="3"/>
        <v>4166</v>
      </c>
      <c r="L14" s="8">
        <f t="shared" si="4"/>
        <v>24552</v>
      </c>
      <c r="M14" s="8">
        <f>(L14 + 'Lån Översikt'!$D$50)</f>
        <v>46501</v>
      </c>
      <c r="N14" s="8">
        <f>IF('Lån Översikt'!$D$22 = "JA", 
    IF(Q14 = TRUE, 'Lån Översikt'!$D$24 - M14, 'Lån Översikt'!$D$24 - M14 + 18300), 
    'Lån Översikt'!$D$24 - M14)
</f>
        <v>3299</v>
      </c>
      <c r="O14" s="25" t="b">
        <f t="shared" si="5"/>
        <v>0</v>
      </c>
      <c r="P14" s="26" t="b">
        <f t="shared" si="6"/>
        <v>0</v>
      </c>
      <c r="Q14" s="27" t="b">
        <f t="shared" si="7"/>
        <v>0</v>
      </c>
    </row>
    <row r="15">
      <c r="B15" s="13"/>
      <c r="C15" s="13"/>
      <c r="D15" s="13"/>
      <c r="F15" s="8">
        <v>12.0</v>
      </c>
      <c r="G15" s="11">
        <f t="shared" si="1"/>
        <v>3681250</v>
      </c>
      <c r="H15" s="9">
        <f>INT(IF(AND('Lån Översikt'!$D$7="JA", 'Lån Översikt'!$D$11="JA", 'Lån Översikt'!$D$8="JA"), (G15*(('Lån Översikt'!$C$7/100*'Lån Översikt'!$C$11/100)-'Lån Översikt'!$C$8/100))/12, IF(AND('Lån Översikt'!$D$7="JA", 'Lån Översikt'!$D$11="JA", 'Lån Översikt'!$D$8="NEJ"), (G15*(('Lån Översikt'!$C$7/100*'Lån Översikt'!$C$11/100))/12), 0)))
</f>
        <v>9408</v>
      </c>
      <c r="I15" s="8">
        <f t="shared" si="2"/>
        <v>4712</v>
      </c>
      <c r="J15" s="8">
        <f>IF(AND(P15, O15), 0, IF(O15, INT((('Lån Översikt'!$C$5 * 1 / 100) / 12)), INT((('Lån Översikt'!$C$5 * 'Lån Översikt'!$C$15 / 100) / 12))))
</f>
        <v>6250</v>
      </c>
      <c r="K15" s="8">
        <f t="shared" si="3"/>
        <v>4166</v>
      </c>
      <c r="L15" s="8">
        <f t="shared" si="4"/>
        <v>24536</v>
      </c>
      <c r="M15" s="8">
        <f>(L15 + 'Lån Översikt'!$D$50)</f>
        <v>46485</v>
      </c>
      <c r="N15" s="8">
        <f>IF('Lån Översikt'!$D$22 = "JA", 
    IF(Q15 = TRUE, 'Lån Översikt'!$D$24 - M15, 'Lån Översikt'!$D$24 - M15 + 18300), 
    'Lån Översikt'!$D$24 - M15)
</f>
        <v>3315</v>
      </c>
      <c r="O15" s="25" t="b">
        <f t="shared" si="5"/>
        <v>0</v>
      </c>
      <c r="P15" s="26" t="b">
        <f t="shared" si="6"/>
        <v>0</v>
      </c>
      <c r="Q15" s="27" t="b">
        <f t="shared" si="7"/>
        <v>0</v>
      </c>
    </row>
    <row r="16">
      <c r="B16" s="13"/>
      <c r="C16" s="13"/>
      <c r="D16" s="13"/>
      <c r="F16" s="8">
        <v>13.0</v>
      </c>
      <c r="G16" s="11">
        <f t="shared" si="1"/>
        <v>3675000</v>
      </c>
      <c r="H16" s="9">
        <f>INT(IF(AND('Lån Översikt'!$D$7="JA", 'Lån Översikt'!$D$11="JA", 'Lån Översikt'!$D$8="JA"), (G16*(('Lån Översikt'!$C$7/100*'Lån Översikt'!$C$11/100)-'Lån Översikt'!$C$8/100))/12, IF(AND('Lån Översikt'!$D$7="JA", 'Lån Översikt'!$D$11="JA", 'Lån Översikt'!$D$8="NEJ"), (G16*(('Lån Översikt'!$C$7/100*'Lån Översikt'!$C$11/100))/12), 0)))
</f>
        <v>9392</v>
      </c>
      <c r="I16" s="8">
        <f t="shared" si="2"/>
        <v>4712</v>
      </c>
      <c r="J16" s="8">
        <f>IF(AND(P16, O16), 0, IF(O16, INT((('Lån Översikt'!$C$5 * 1 / 100) / 12)), INT((('Lån Översikt'!$C$5 * 'Lån Översikt'!$C$15 / 100) / 12))))
</f>
        <v>6250</v>
      </c>
      <c r="K16" s="8">
        <f t="shared" si="3"/>
        <v>4166</v>
      </c>
      <c r="L16" s="8">
        <f t="shared" si="4"/>
        <v>24520</v>
      </c>
      <c r="M16" s="8">
        <f>(L16 + 'Lån Översikt'!$D$50)</f>
        <v>46469</v>
      </c>
      <c r="N16" s="8">
        <f>IF('Lån Översikt'!$D$22 = "JA", 
    IF(Q16 = TRUE, 'Lån Översikt'!$D$24 - M16, 'Lån Översikt'!$D$24 - M16 + 18300), 
    'Lån Översikt'!$D$24 - M16)
</f>
        <v>3331</v>
      </c>
      <c r="O16" s="25" t="b">
        <f t="shared" si="5"/>
        <v>0</v>
      </c>
      <c r="P16" s="26" t="b">
        <f t="shared" si="6"/>
        <v>0</v>
      </c>
      <c r="Q16" s="27" t="b">
        <f t="shared" si="7"/>
        <v>0</v>
      </c>
    </row>
    <row r="17">
      <c r="B17" s="13"/>
      <c r="C17" s="13"/>
      <c r="D17" s="13"/>
      <c r="F17" s="8">
        <v>14.0</v>
      </c>
      <c r="G17" s="11">
        <f t="shared" si="1"/>
        <v>3668750</v>
      </c>
      <c r="H17" s="9">
        <f>INT(IF(AND('Lån Översikt'!$D$7="JA", 'Lån Översikt'!$D$11="JA", 'Lån Översikt'!$D$8="JA"), (G17*(('Lån Översikt'!$C$7/100*'Lån Översikt'!$C$11/100)-'Lån Översikt'!$C$8/100))/12, IF(AND('Lån Översikt'!$D$7="JA", 'Lån Översikt'!$D$11="JA", 'Lån Översikt'!$D$8="NEJ"), (G17*(('Lån Översikt'!$C$7/100*'Lån Översikt'!$C$11/100))/12), 0)))
</f>
        <v>9376</v>
      </c>
      <c r="I17" s="8">
        <f t="shared" si="2"/>
        <v>4712</v>
      </c>
      <c r="J17" s="8">
        <f>IF(AND(P17, O17), 0, IF(O17, INT((('Lån Översikt'!$C$5 * 1 / 100) / 12)), INT((('Lån Översikt'!$C$5 * 'Lån Översikt'!$C$15 / 100) / 12))))
</f>
        <v>6250</v>
      </c>
      <c r="K17" s="8">
        <f t="shared" si="3"/>
        <v>4166</v>
      </c>
      <c r="L17" s="8">
        <f t="shared" si="4"/>
        <v>24504</v>
      </c>
      <c r="M17" s="8">
        <f>(L17 + 'Lån Översikt'!$D$50)</f>
        <v>46453</v>
      </c>
      <c r="N17" s="8">
        <f>IF('Lån Översikt'!$D$22 = "JA", 
    IF(Q17 = TRUE, 'Lån Översikt'!$D$24 - M17, 'Lån Översikt'!$D$24 - M17 + 18300), 
    'Lån Översikt'!$D$24 - M17)
</f>
        <v>3347</v>
      </c>
      <c r="O17" s="25" t="b">
        <f t="shared" si="5"/>
        <v>0</v>
      </c>
      <c r="P17" s="26" t="b">
        <f t="shared" si="6"/>
        <v>0</v>
      </c>
      <c r="Q17" s="27" t="b">
        <f t="shared" si="7"/>
        <v>0</v>
      </c>
    </row>
    <row r="18">
      <c r="F18" s="8">
        <v>15.0</v>
      </c>
      <c r="G18" s="11">
        <f t="shared" si="1"/>
        <v>3662500</v>
      </c>
      <c r="H18" s="9">
        <f>INT(IF(AND('Lån Översikt'!$D$7="JA", 'Lån Översikt'!$D$11="JA", 'Lån Översikt'!$D$8="JA"), (G18*(('Lån Översikt'!$C$7/100*'Lån Översikt'!$C$11/100)-'Lån Översikt'!$C$8/100))/12, IF(AND('Lån Översikt'!$D$7="JA", 'Lån Översikt'!$D$11="JA", 'Lån Översikt'!$D$8="NEJ"), (G18*(('Lån Översikt'!$C$7/100*'Lån Översikt'!$C$11/100))/12), 0)))
</f>
        <v>9360</v>
      </c>
      <c r="I18" s="8">
        <f t="shared" si="2"/>
        <v>4712</v>
      </c>
      <c r="J18" s="8">
        <f>IF(AND(P18, O18), 0, IF(O18, INT((('Lån Översikt'!$C$5 * 1 / 100) / 12)), INT((('Lån Översikt'!$C$5 * 'Lån Översikt'!$C$15 / 100) / 12))))
</f>
        <v>6250</v>
      </c>
      <c r="K18" s="8">
        <f t="shared" si="3"/>
        <v>4166</v>
      </c>
      <c r="L18" s="8">
        <f t="shared" si="4"/>
        <v>24488</v>
      </c>
      <c r="M18" s="8">
        <f>(L18 + 'Lån Översikt'!$D$50)</f>
        <v>46437</v>
      </c>
      <c r="N18" s="8">
        <f>IF('Lån Översikt'!$D$22 = "JA", 
    IF(Q18 = TRUE, 'Lån Översikt'!$D$24 - M18, 'Lån Översikt'!$D$24 - M18 + 18300), 
    'Lån Översikt'!$D$24 - M18)
</f>
        <v>3363</v>
      </c>
      <c r="O18" s="25" t="b">
        <f t="shared" si="5"/>
        <v>0</v>
      </c>
      <c r="P18" s="26" t="b">
        <f t="shared" si="6"/>
        <v>0</v>
      </c>
      <c r="Q18" s="27" t="b">
        <f t="shared" si="7"/>
        <v>0</v>
      </c>
    </row>
    <row r="19">
      <c r="F19" s="8">
        <v>16.0</v>
      </c>
      <c r="G19" s="11">
        <f t="shared" si="1"/>
        <v>3656250</v>
      </c>
      <c r="H19" s="9">
        <f>INT(IF(AND('Lån Översikt'!$D$7="JA", 'Lån Översikt'!$D$11="JA", 'Lån Översikt'!$D$8="JA"), (G19*(('Lån Översikt'!$C$7/100*'Lån Översikt'!$C$11/100)-'Lån Översikt'!$C$8/100))/12, IF(AND('Lån Översikt'!$D$7="JA", 'Lån Översikt'!$D$11="JA", 'Lån Översikt'!$D$8="NEJ"), (G19*(('Lån Översikt'!$C$7/100*'Lån Översikt'!$C$11/100))/12), 0)))
</f>
        <v>9344</v>
      </c>
      <c r="I19" s="8">
        <f t="shared" si="2"/>
        <v>4712</v>
      </c>
      <c r="J19" s="8">
        <f>IF(AND(P19, O19), 0, IF(O19, INT((('Lån Översikt'!$C$5 * 1 / 100) / 12)), INT((('Lån Översikt'!$C$5 * 'Lån Översikt'!$C$15 / 100) / 12))))
</f>
        <v>6250</v>
      </c>
      <c r="K19" s="8">
        <f t="shared" si="3"/>
        <v>4166</v>
      </c>
      <c r="L19" s="8">
        <f t="shared" si="4"/>
        <v>24472</v>
      </c>
      <c r="M19" s="8">
        <f>(L19 + 'Lån Översikt'!$D$50)</f>
        <v>46421</v>
      </c>
      <c r="N19" s="8">
        <f>IF('Lån Översikt'!$D$22 = "JA", 
    IF(Q19 = TRUE, 'Lån Översikt'!$D$24 - M19, 'Lån Översikt'!$D$24 - M19 + 18300), 
    'Lån Översikt'!$D$24 - M19)
</f>
        <v>3379</v>
      </c>
      <c r="O19" s="25" t="b">
        <f t="shared" si="5"/>
        <v>0</v>
      </c>
      <c r="P19" s="26" t="b">
        <f t="shared" si="6"/>
        <v>0</v>
      </c>
      <c r="Q19" s="27" t="b">
        <f t="shared" si="7"/>
        <v>0</v>
      </c>
    </row>
    <row r="20">
      <c r="F20" s="8">
        <v>17.0</v>
      </c>
      <c r="G20" s="11">
        <f t="shared" si="1"/>
        <v>3650000</v>
      </c>
      <c r="H20" s="9">
        <f>INT(IF(AND('Lån Översikt'!$D$7="JA", 'Lån Översikt'!$D$11="JA", 'Lån Översikt'!$D$8="JA"), (G20*(('Lån Översikt'!$C$7/100*'Lån Översikt'!$C$11/100)-'Lån Översikt'!$C$8/100))/12, IF(AND('Lån Översikt'!$D$7="JA", 'Lån Översikt'!$D$11="JA", 'Lån Översikt'!$D$8="NEJ"), (G20*(('Lån Översikt'!$C$7/100*'Lån Översikt'!$C$11/100))/12), 0)))
</f>
        <v>9328</v>
      </c>
      <c r="I20" s="8">
        <f t="shared" si="2"/>
        <v>4712</v>
      </c>
      <c r="J20" s="8">
        <f>IF(AND(P20, O20), 0, IF(O20, INT((('Lån Översikt'!$C$5 * 1 / 100) / 12)), INT((('Lån Översikt'!$C$5 * 'Lån Översikt'!$C$15 / 100) / 12))))
</f>
        <v>6250</v>
      </c>
      <c r="K20" s="8">
        <f t="shared" si="3"/>
        <v>4166</v>
      </c>
      <c r="L20" s="8">
        <f t="shared" si="4"/>
        <v>24456</v>
      </c>
      <c r="M20" s="8">
        <f>(L20 + 'Lån Översikt'!$D$50)</f>
        <v>46405</v>
      </c>
      <c r="N20" s="8">
        <f>IF('Lån Översikt'!$D$22 = "JA", 
    IF(Q20 = TRUE, 'Lån Översikt'!$D$24 - M20, 'Lån Översikt'!$D$24 - M20 + 18300), 
    'Lån Översikt'!$D$24 - M20)
</f>
        <v>3395</v>
      </c>
      <c r="O20" s="25" t="b">
        <f t="shared" si="5"/>
        <v>0</v>
      </c>
      <c r="P20" s="26" t="b">
        <f t="shared" si="6"/>
        <v>0</v>
      </c>
      <c r="Q20" s="27" t="b">
        <f t="shared" si="7"/>
        <v>0</v>
      </c>
    </row>
    <row r="21">
      <c r="B21" s="16"/>
      <c r="C21" s="16"/>
      <c r="D21" s="16"/>
      <c r="F21" s="8">
        <v>18.0</v>
      </c>
      <c r="G21" s="11">
        <f t="shared" si="1"/>
        <v>3643750</v>
      </c>
      <c r="H21" s="9">
        <f>INT(IF(AND('Lån Översikt'!$D$7="JA", 'Lån Översikt'!$D$11="JA", 'Lån Översikt'!$D$8="JA"), (G21*(('Lån Översikt'!$C$7/100*'Lån Översikt'!$C$11/100)-'Lån Översikt'!$C$8/100))/12, IF(AND('Lån Översikt'!$D$7="JA", 'Lån Översikt'!$D$11="JA", 'Lån Översikt'!$D$8="NEJ"), (G21*(('Lån Översikt'!$C$7/100*'Lån Översikt'!$C$11/100))/12), 0)))
</f>
        <v>9312</v>
      </c>
      <c r="I21" s="8">
        <f t="shared" si="2"/>
        <v>4712</v>
      </c>
      <c r="J21" s="8">
        <f>IF(AND(P21, O21), 0, IF(O21, INT((('Lån Översikt'!$C$5 * 1 / 100) / 12)), INT((('Lån Översikt'!$C$5 * 'Lån Översikt'!$C$15 / 100) / 12))))
</f>
        <v>6250</v>
      </c>
      <c r="K21" s="8">
        <f t="shared" si="3"/>
        <v>4166</v>
      </c>
      <c r="L21" s="8">
        <f t="shared" si="4"/>
        <v>24440</v>
      </c>
      <c r="M21" s="8">
        <f>(L21 + 'Lån Översikt'!$D$50)</f>
        <v>46389</v>
      </c>
      <c r="N21" s="8">
        <f>IF('Lån Översikt'!$D$22 = "JA", 
    IF(Q21 = TRUE, 'Lån Översikt'!$D$24 - M21, 'Lån Översikt'!$D$24 - M21 + 18300), 
    'Lån Översikt'!$D$24 - M21)
</f>
        <v>3411</v>
      </c>
      <c r="O21" s="25" t="b">
        <f t="shared" si="5"/>
        <v>0</v>
      </c>
      <c r="P21" s="26" t="b">
        <f t="shared" si="6"/>
        <v>0</v>
      </c>
      <c r="Q21" s="27" t="b">
        <f t="shared" si="7"/>
        <v>0</v>
      </c>
    </row>
    <row r="22">
      <c r="B22" s="13"/>
      <c r="C22" s="13"/>
      <c r="D22" s="13"/>
      <c r="F22" s="8">
        <v>19.0</v>
      </c>
      <c r="G22" s="11">
        <f t="shared" si="1"/>
        <v>3637500</v>
      </c>
      <c r="H22" s="9">
        <f>INT(IF(AND('Lån Översikt'!$D$7="JA", 'Lån Översikt'!$D$11="JA", 'Lån Översikt'!$D$8="JA"), (G22*(('Lån Översikt'!$C$7/100*'Lån Översikt'!$C$11/100)-'Lån Översikt'!$C$8/100))/12, IF(AND('Lån Översikt'!$D$7="JA", 'Lån Översikt'!$D$11="JA", 'Lån Översikt'!$D$8="NEJ"), (G22*(('Lån Översikt'!$C$7/100*'Lån Översikt'!$C$11/100))/12), 0)))
</f>
        <v>9296</v>
      </c>
      <c r="I22" s="8">
        <f t="shared" si="2"/>
        <v>4712</v>
      </c>
      <c r="J22" s="8">
        <f>IF(AND(P22, O22), 0, IF(O22, INT((('Lån Översikt'!$C$5 * 1 / 100) / 12)), INT((('Lån Översikt'!$C$5 * 'Lån Översikt'!$C$15 / 100) / 12))))
</f>
        <v>6250</v>
      </c>
      <c r="K22" s="8">
        <f t="shared" si="3"/>
        <v>4166</v>
      </c>
      <c r="L22" s="8">
        <f t="shared" si="4"/>
        <v>24424</v>
      </c>
      <c r="M22" s="8">
        <f>(L22 + 'Lån Översikt'!$D$50)</f>
        <v>46373</v>
      </c>
      <c r="N22" s="8">
        <f>IF('Lån Översikt'!$D$22 = "JA", 
    IF(Q22 = TRUE, 'Lån Översikt'!$D$24 - M22, 'Lån Översikt'!$D$24 - M22 + 18300), 
    'Lån Översikt'!$D$24 - M22)
</f>
        <v>3427</v>
      </c>
      <c r="O22" s="25" t="b">
        <f t="shared" si="5"/>
        <v>0</v>
      </c>
      <c r="P22" s="26" t="b">
        <f t="shared" si="6"/>
        <v>0</v>
      </c>
      <c r="Q22" s="27" t="b">
        <f t="shared" ref="Q22:Q604" si="8">IF(F21 &lt; 9,TRUE, FALSE)</f>
        <v>0</v>
      </c>
    </row>
    <row r="23">
      <c r="B23" s="13"/>
      <c r="C23" s="13"/>
      <c r="D23" s="13"/>
      <c r="F23" s="8">
        <v>20.0</v>
      </c>
      <c r="G23" s="11">
        <f t="shared" si="1"/>
        <v>3631250</v>
      </c>
      <c r="H23" s="9">
        <f>INT(IF(AND('Lån Översikt'!$D$7="JA", 'Lån Översikt'!$D$11="JA", 'Lån Översikt'!$D$8="JA"), (G23*(('Lån Översikt'!$C$7/100*'Lån Översikt'!$C$11/100)-'Lån Översikt'!$C$8/100))/12, IF(AND('Lån Översikt'!$D$7="JA", 'Lån Översikt'!$D$11="JA", 'Lån Översikt'!$D$8="NEJ"), (G23*(('Lån Översikt'!$C$7/100*'Lån Översikt'!$C$11/100))/12), 0)))
</f>
        <v>9280</v>
      </c>
      <c r="I23" s="8">
        <f t="shared" si="2"/>
        <v>4712</v>
      </c>
      <c r="J23" s="8">
        <f>IF(AND(P23, O23), 0, IF(O23, INT((('Lån Översikt'!$C$5 * 1 / 100) / 12)), INT((('Lån Översikt'!$C$5 * 'Lån Översikt'!$C$15 / 100) / 12))))
</f>
        <v>6250</v>
      </c>
      <c r="K23" s="8">
        <f t="shared" si="3"/>
        <v>4166</v>
      </c>
      <c r="L23" s="8">
        <f t="shared" si="4"/>
        <v>24408</v>
      </c>
      <c r="M23" s="8">
        <f>(L23 + 'Lån Översikt'!$D$50)</f>
        <v>46357</v>
      </c>
      <c r="N23" s="8">
        <f>IF('Lån Översikt'!$D$22 = "JA", 
    IF(Q23 = TRUE, 'Lån Översikt'!$D$24 - M23, 'Lån Översikt'!$D$24 - M23 + 18300), 
    'Lån Översikt'!$D$24 - M23)
</f>
        <v>3443</v>
      </c>
      <c r="O23" s="25" t="b">
        <f t="shared" si="5"/>
        <v>0</v>
      </c>
      <c r="P23" s="26" t="b">
        <f t="shared" si="6"/>
        <v>0</v>
      </c>
      <c r="Q23" s="27" t="b">
        <f t="shared" si="8"/>
        <v>0</v>
      </c>
    </row>
    <row r="24">
      <c r="B24" s="16"/>
      <c r="F24" s="8">
        <v>21.0</v>
      </c>
      <c r="G24" s="11">
        <f t="shared" si="1"/>
        <v>3625000</v>
      </c>
      <c r="H24" s="9">
        <f>INT(IF(AND('Lån Översikt'!$D$7="JA", 'Lån Översikt'!$D$11="JA", 'Lån Översikt'!$D$8="JA"), (G24*(('Lån Översikt'!$C$7/100*'Lån Översikt'!$C$11/100)-'Lån Översikt'!$C$8/100))/12, IF(AND('Lån Översikt'!$D$7="JA", 'Lån Översikt'!$D$11="JA", 'Lån Översikt'!$D$8="NEJ"), (G24*(('Lån Översikt'!$C$7/100*'Lån Översikt'!$C$11/100))/12), 0)))
</f>
        <v>9264</v>
      </c>
      <c r="I24" s="8">
        <f t="shared" si="2"/>
        <v>4712</v>
      </c>
      <c r="J24" s="8">
        <f>IF(AND(P24, O24), 0, IF(O24, INT((('Lån Översikt'!$C$5 * 1 / 100) / 12)), INT((('Lån Översikt'!$C$5 * 'Lån Översikt'!$C$15 / 100) / 12))))
</f>
        <v>6250</v>
      </c>
      <c r="K24" s="8">
        <f t="shared" si="3"/>
        <v>4166</v>
      </c>
      <c r="L24" s="8">
        <f t="shared" si="4"/>
        <v>24392</v>
      </c>
      <c r="M24" s="8">
        <f>(L24 + 'Lån Översikt'!$D$50)</f>
        <v>46341</v>
      </c>
      <c r="N24" s="8">
        <f>IF('Lån Översikt'!$D$22 = "JA", 
    IF(Q24 = TRUE, 'Lån Översikt'!$D$24 - M24, 'Lån Översikt'!$D$24 - M24 + 18300), 
    'Lån Översikt'!$D$24 - M24)
</f>
        <v>3459</v>
      </c>
      <c r="O24" s="25" t="b">
        <f t="shared" si="5"/>
        <v>0</v>
      </c>
      <c r="P24" s="26" t="b">
        <f t="shared" si="6"/>
        <v>0</v>
      </c>
      <c r="Q24" s="27" t="b">
        <f t="shared" si="8"/>
        <v>0</v>
      </c>
    </row>
    <row r="25">
      <c r="F25" s="8">
        <v>22.0</v>
      </c>
      <c r="G25" s="11">
        <f t="shared" si="1"/>
        <v>3618750</v>
      </c>
      <c r="H25" s="9">
        <f>INT(IF(AND('Lån Översikt'!$D$7="JA", 'Lån Översikt'!$D$11="JA", 'Lån Översikt'!$D$8="JA"), (G25*(('Lån Översikt'!$C$7/100*'Lån Översikt'!$C$11/100)-'Lån Översikt'!$C$8/100))/12, IF(AND('Lån Översikt'!$D$7="JA", 'Lån Översikt'!$D$11="JA", 'Lån Översikt'!$D$8="NEJ"), (G25*(('Lån Översikt'!$C$7/100*'Lån Översikt'!$C$11/100))/12), 0)))
</f>
        <v>9248</v>
      </c>
      <c r="I25" s="8">
        <f t="shared" si="2"/>
        <v>4712</v>
      </c>
      <c r="J25" s="8">
        <f>IF(AND(P25, O25), 0, IF(O25, INT((('Lån Översikt'!$C$5 * 1 / 100) / 12)), INT((('Lån Översikt'!$C$5 * 'Lån Översikt'!$C$15 / 100) / 12))))
</f>
        <v>6250</v>
      </c>
      <c r="K25" s="8">
        <f t="shared" si="3"/>
        <v>4166</v>
      </c>
      <c r="L25" s="8">
        <f t="shared" si="4"/>
        <v>24376</v>
      </c>
      <c r="M25" s="8">
        <f>(L25 + 'Lån Översikt'!$D$50)</f>
        <v>46325</v>
      </c>
      <c r="N25" s="8">
        <f>IF('Lån Översikt'!$D$22 = "JA", 
    IF(Q25 = TRUE, 'Lån Översikt'!$D$24 - M25, 'Lån Översikt'!$D$24 - M25 + 18300), 
    'Lån Översikt'!$D$24 - M25)
</f>
        <v>3475</v>
      </c>
      <c r="O25" s="25" t="b">
        <f t="shared" si="5"/>
        <v>0</v>
      </c>
      <c r="P25" s="26" t="b">
        <f t="shared" si="6"/>
        <v>0</v>
      </c>
      <c r="Q25" s="27" t="b">
        <f t="shared" si="8"/>
        <v>0</v>
      </c>
    </row>
    <row r="26">
      <c r="B26" s="16"/>
      <c r="C26" s="16"/>
      <c r="D26" s="16"/>
      <c r="F26" s="8">
        <v>23.0</v>
      </c>
      <c r="G26" s="11">
        <f t="shared" si="1"/>
        <v>3612500</v>
      </c>
      <c r="H26" s="9">
        <f>INT(IF(AND('Lån Översikt'!$D$7="JA", 'Lån Översikt'!$D$11="JA", 'Lån Översikt'!$D$8="JA"), (G26*(('Lån Översikt'!$C$7/100*'Lån Översikt'!$C$11/100)-'Lån Översikt'!$C$8/100))/12, IF(AND('Lån Översikt'!$D$7="JA", 'Lån Översikt'!$D$11="JA", 'Lån Översikt'!$D$8="NEJ"), (G26*(('Lån Översikt'!$C$7/100*'Lån Översikt'!$C$11/100))/12), 0)))
</f>
        <v>9232</v>
      </c>
      <c r="I26" s="8">
        <f t="shared" si="2"/>
        <v>4712</v>
      </c>
      <c r="J26" s="8">
        <f>IF(AND(P26, O26), 0, IF(O26, INT((('Lån Översikt'!$C$5 * 1 / 100) / 12)), INT((('Lån Översikt'!$C$5 * 'Lån Översikt'!$C$15 / 100) / 12))))
</f>
        <v>6250</v>
      </c>
      <c r="K26" s="8">
        <f t="shared" si="3"/>
        <v>4166</v>
      </c>
      <c r="L26" s="8">
        <f t="shared" si="4"/>
        <v>24360</v>
      </c>
      <c r="M26" s="8">
        <f>(L26 + 'Lån Översikt'!$D$50)</f>
        <v>46309</v>
      </c>
      <c r="N26" s="8">
        <f>IF('Lån Översikt'!$D$22 = "JA", 
    IF(Q26 = TRUE, 'Lån Översikt'!$D$24 - M26, 'Lån Översikt'!$D$24 - M26 + 18300), 
    'Lån Översikt'!$D$24 - M26)
</f>
        <v>3491</v>
      </c>
      <c r="O26" s="25" t="b">
        <f t="shared" si="5"/>
        <v>0</v>
      </c>
      <c r="P26" s="26" t="b">
        <f t="shared" si="6"/>
        <v>0</v>
      </c>
      <c r="Q26" s="27" t="b">
        <f t="shared" si="8"/>
        <v>0</v>
      </c>
    </row>
    <row r="27">
      <c r="B27" s="13"/>
      <c r="C27" s="13"/>
      <c r="D27" s="13"/>
      <c r="F27" s="8">
        <v>24.0</v>
      </c>
      <c r="G27" s="11">
        <f t="shared" si="1"/>
        <v>3606250</v>
      </c>
      <c r="H27" s="9">
        <f>INT(IF(AND('Lån Översikt'!$D$7="JA", 'Lån Översikt'!$D$11="JA", 'Lån Översikt'!$D$8="JA"), (G27*(('Lån Översikt'!$C$7/100*'Lån Översikt'!$C$11/100)-'Lån Översikt'!$C$8/100))/12, IF(AND('Lån Översikt'!$D$7="JA", 'Lån Översikt'!$D$11="JA", 'Lån Översikt'!$D$8="NEJ"), (G27*(('Lån Översikt'!$C$7/100*'Lån Översikt'!$C$11/100))/12), 0)))
</f>
        <v>9216</v>
      </c>
      <c r="I27" s="8">
        <f t="shared" si="2"/>
        <v>4712</v>
      </c>
      <c r="J27" s="8">
        <f>IF(AND(P27, O27), 0, IF(O27, INT((('Lån Översikt'!$C$5 * 1 / 100) / 12)), INT((('Lån Översikt'!$C$5 * 'Lån Översikt'!$C$15 / 100) / 12))))
</f>
        <v>6250</v>
      </c>
      <c r="K27" s="8">
        <f t="shared" si="3"/>
        <v>4166</v>
      </c>
      <c r="L27" s="8">
        <f t="shared" si="4"/>
        <v>24344</v>
      </c>
      <c r="M27" s="8">
        <f>(L27 + 'Lån Översikt'!$D$50)</f>
        <v>46293</v>
      </c>
      <c r="N27" s="8">
        <f>IF('Lån Översikt'!$D$22 = "JA", 
    IF(Q27 = TRUE, 'Lån Översikt'!$D$24 - M27, 'Lån Översikt'!$D$24 - M27 + 18300), 
    'Lån Översikt'!$D$24 - M27)
</f>
        <v>3507</v>
      </c>
      <c r="O27" s="25" t="b">
        <f t="shared" si="5"/>
        <v>0</v>
      </c>
      <c r="P27" s="26" t="b">
        <f t="shared" si="6"/>
        <v>0</v>
      </c>
      <c r="Q27" s="27" t="b">
        <f t="shared" si="8"/>
        <v>0</v>
      </c>
    </row>
    <row r="28">
      <c r="B28" s="13"/>
      <c r="C28" s="13"/>
      <c r="D28" s="13"/>
      <c r="F28" s="8">
        <v>25.0</v>
      </c>
      <c r="G28" s="11">
        <f t="shared" si="1"/>
        <v>3600000</v>
      </c>
      <c r="H28" s="9">
        <f>INT(IF(AND('Lån Översikt'!$D$7="JA", 'Lån Översikt'!$D$11="JA", 'Lån Översikt'!$D$8="JA"), (G28*(('Lån Översikt'!$C$7/100*'Lån Översikt'!$C$11/100)-'Lån Översikt'!$C$8/100))/12, IF(AND('Lån Översikt'!$D$7="JA", 'Lån Översikt'!$D$11="JA", 'Lån Översikt'!$D$8="NEJ"), (G28*(('Lån Översikt'!$C$7/100*'Lån Översikt'!$C$11/100))/12), 0)))
</f>
        <v>9201</v>
      </c>
      <c r="I28" s="8">
        <f t="shared" si="2"/>
        <v>4712</v>
      </c>
      <c r="J28" s="8">
        <f>IF(AND(P28, O28), 0, IF(O28, INT((('Lån Översikt'!$C$5 * 1 / 100) / 12)), INT((('Lån Översikt'!$C$5 * 'Lån Översikt'!$C$15 / 100) / 12))))
</f>
        <v>6250</v>
      </c>
      <c r="K28" s="8">
        <f t="shared" si="3"/>
        <v>4166</v>
      </c>
      <c r="L28" s="8">
        <f t="shared" si="4"/>
        <v>24329</v>
      </c>
      <c r="M28" s="8">
        <f>(L28 + 'Lån Översikt'!$D$50)</f>
        <v>46278</v>
      </c>
      <c r="N28" s="8">
        <f>IF('Lån Översikt'!$D$22 = "JA", 
    IF(Q28 = TRUE, 'Lån Översikt'!$D$24 - M28, 'Lån Översikt'!$D$24 - M28 + 18300), 
    'Lån Översikt'!$D$24 - M28)
</f>
        <v>3522</v>
      </c>
      <c r="O28" s="25" t="b">
        <f t="shared" si="5"/>
        <v>0</v>
      </c>
      <c r="P28" s="26" t="b">
        <f t="shared" si="6"/>
        <v>0</v>
      </c>
      <c r="Q28" s="27" t="b">
        <f t="shared" si="8"/>
        <v>0</v>
      </c>
    </row>
    <row r="29">
      <c r="B29" s="13"/>
      <c r="C29" s="13"/>
      <c r="D29" s="13"/>
      <c r="F29" s="8">
        <v>26.0</v>
      </c>
      <c r="G29" s="11">
        <f t="shared" si="1"/>
        <v>3593750</v>
      </c>
      <c r="H29" s="9">
        <f>INT(IF(AND('Lån Översikt'!$D$7="JA", 'Lån Översikt'!$D$11="JA", 'Lån Översikt'!$D$8="JA"), (G29*(('Lån Översikt'!$C$7/100*'Lån Översikt'!$C$11/100)-'Lån Översikt'!$C$8/100))/12, IF(AND('Lån Översikt'!$D$7="JA", 'Lån Översikt'!$D$11="JA", 'Lån Översikt'!$D$8="NEJ"), (G29*(('Lån Översikt'!$C$7/100*'Lån Översikt'!$C$11/100))/12), 0)))
</f>
        <v>9185</v>
      </c>
      <c r="I29" s="8">
        <f t="shared" si="2"/>
        <v>4712</v>
      </c>
      <c r="J29" s="8">
        <f>IF(AND(P29, O29), 0, IF(O29, INT((('Lån Översikt'!$C$5 * 1 / 100) / 12)), INT((('Lån Översikt'!$C$5 * 'Lån Översikt'!$C$15 / 100) / 12))))
</f>
        <v>6250</v>
      </c>
      <c r="K29" s="8">
        <f t="shared" si="3"/>
        <v>4166</v>
      </c>
      <c r="L29" s="8">
        <f t="shared" si="4"/>
        <v>24313</v>
      </c>
      <c r="M29" s="8">
        <f>(L29 + 'Lån Översikt'!$D$50)</f>
        <v>46262</v>
      </c>
      <c r="N29" s="8">
        <f>IF('Lån Översikt'!$D$22 = "JA", 
    IF(Q29 = TRUE, 'Lån Översikt'!$D$24 - M29, 'Lån Översikt'!$D$24 - M29 + 18300), 
    'Lån Översikt'!$D$24 - M29)
</f>
        <v>3538</v>
      </c>
      <c r="O29" s="25" t="b">
        <f t="shared" si="5"/>
        <v>0</v>
      </c>
      <c r="P29" s="26" t="b">
        <f t="shared" si="6"/>
        <v>0</v>
      </c>
      <c r="Q29" s="27" t="b">
        <f t="shared" si="8"/>
        <v>0</v>
      </c>
    </row>
    <row r="30">
      <c r="B30" s="13"/>
      <c r="C30" s="13"/>
      <c r="D30" s="13"/>
      <c r="F30" s="8">
        <v>27.0</v>
      </c>
      <c r="G30" s="11">
        <f t="shared" si="1"/>
        <v>3587500</v>
      </c>
      <c r="H30" s="9">
        <f>INT(IF(AND('Lån Översikt'!$D$7="JA", 'Lån Översikt'!$D$11="JA", 'Lån Översikt'!$D$8="JA"), (G30*(('Lån Översikt'!$C$7/100*'Lån Översikt'!$C$11/100)-'Lån Översikt'!$C$8/100))/12, IF(AND('Lån Översikt'!$D$7="JA", 'Lån Översikt'!$D$11="JA", 'Lån Översikt'!$D$8="NEJ"), (G30*(('Lån Översikt'!$C$7/100*'Lån Översikt'!$C$11/100))/12), 0)))
</f>
        <v>9169</v>
      </c>
      <c r="I30" s="8">
        <f t="shared" si="2"/>
        <v>4712</v>
      </c>
      <c r="J30" s="8">
        <f>IF(AND(P30, O30), 0, IF(O30, INT((('Lån Översikt'!$C$5 * 1 / 100) / 12)), INT((('Lån Översikt'!$C$5 * 'Lån Översikt'!$C$15 / 100) / 12))))
</f>
        <v>6250</v>
      </c>
      <c r="K30" s="8">
        <f t="shared" si="3"/>
        <v>4166</v>
      </c>
      <c r="L30" s="8">
        <f t="shared" si="4"/>
        <v>24297</v>
      </c>
      <c r="M30" s="8">
        <f>(L30 + 'Lån Översikt'!$D$50)</f>
        <v>46246</v>
      </c>
      <c r="N30" s="8">
        <f>IF('Lån Översikt'!$D$22 = "JA", 
    IF(Q30 = TRUE, 'Lån Översikt'!$D$24 - M30, 'Lån Översikt'!$D$24 - M30 + 18300), 
    'Lån Översikt'!$D$24 - M30)
</f>
        <v>3554</v>
      </c>
      <c r="O30" s="25" t="b">
        <f t="shared" si="5"/>
        <v>0</v>
      </c>
      <c r="P30" s="26" t="b">
        <f t="shared" si="6"/>
        <v>0</v>
      </c>
      <c r="Q30" s="27" t="b">
        <f t="shared" si="8"/>
        <v>0</v>
      </c>
    </row>
    <row r="31">
      <c r="B31" s="13"/>
      <c r="C31" s="13"/>
      <c r="D31" s="13"/>
      <c r="F31" s="8">
        <v>28.0</v>
      </c>
      <c r="G31" s="11">
        <f t="shared" si="1"/>
        <v>3581250</v>
      </c>
      <c r="H31" s="9">
        <f>INT(IF(AND('Lån Översikt'!$D$7="JA", 'Lån Översikt'!$D$11="JA", 'Lån Översikt'!$D$8="JA"), (G31*(('Lån Översikt'!$C$7/100*'Lån Översikt'!$C$11/100)-'Lån Översikt'!$C$8/100))/12, IF(AND('Lån Översikt'!$D$7="JA", 'Lån Översikt'!$D$11="JA", 'Lån Översikt'!$D$8="NEJ"), (G31*(('Lån Översikt'!$C$7/100*'Lån Översikt'!$C$11/100))/12), 0)))
</f>
        <v>9153</v>
      </c>
      <c r="I31" s="8">
        <f t="shared" si="2"/>
        <v>4712</v>
      </c>
      <c r="J31" s="8">
        <f>IF(AND(P31, O31), 0, IF(O31, INT((('Lån Översikt'!$C$5 * 1 / 100) / 12)), INT((('Lån Översikt'!$C$5 * 'Lån Översikt'!$C$15 / 100) / 12))))
</f>
        <v>6250</v>
      </c>
      <c r="K31" s="8">
        <f t="shared" si="3"/>
        <v>4166</v>
      </c>
      <c r="L31" s="8">
        <f t="shared" si="4"/>
        <v>24281</v>
      </c>
      <c r="M31" s="8">
        <f>(L31 + 'Lån Översikt'!$D$50)</f>
        <v>46230</v>
      </c>
      <c r="N31" s="8">
        <f>IF('Lån Översikt'!$D$22 = "JA", 
    IF(Q31 = TRUE, 'Lån Översikt'!$D$24 - M31, 'Lån Översikt'!$D$24 - M31 + 18300), 
    'Lån Översikt'!$D$24 - M31)
</f>
        <v>3570</v>
      </c>
      <c r="O31" s="25" t="b">
        <f t="shared" si="5"/>
        <v>0</v>
      </c>
      <c r="P31" s="26" t="b">
        <f t="shared" si="6"/>
        <v>0</v>
      </c>
      <c r="Q31" s="27" t="b">
        <f t="shared" si="8"/>
        <v>0</v>
      </c>
    </row>
    <row r="32">
      <c r="B32" s="13"/>
      <c r="C32" s="13"/>
      <c r="D32" s="13"/>
      <c r="F32" s="8">
        <v>29.0</v>
      </c>
      <c r="G32" s="11">
        <f t="shared" si="1"/>
        <v>3575000</v>
      </c>
      <c r="H32" s="9">
        <f>INT(IF(AND('Lån Översikt'!$D$7="JA", 'Lån Översikt'!$D$11="JA", 'Lån Översikt'!$D$8="JA"), (G32*(('Lån Översikt'!$C$7/100*'Lån Översikt'!$C$11/100)-'Lån Översikt'!$C$8/100))/12, IF(AND('Lån Översikt'!$D$7="JA", 'Lån Översikt'!$D$11="JA", 'Lån Översikt'!$D$8="NEJ"), (G32*(('Lån Översikt'!$C$7/100*'Lån Översikt'!$C$11/100))/12), 0)))
</f>
        <v>9137</v>
      </c>
      <c r="I32" s="8">
        <f t="shared" si="2"/>
        <v>4712</v>
      </c>
      <c r="J32" s="8">
        <f>IF(AND(P32, O32), 0, IF(O32, INT((('Lån Översikt'!$C$5 * 1 / 100) / 12)), INT((('Lån Översikt'!$C$5 * 'Lån Översikt'!$C$15 / 100) / 12))))
</f>
        <v>6250</v>
      </c>
      <c r="K32" s="8">
        <f t="shared" si="3"/>
        <v>4166</v>
      </c>
      <c r="L32" s="8">
        <f t="shared" si="4"/>
        <v>24265</v>
      </c>
      <c r="M32" s="8">
        <f>(L32 + 'Lån Översikt'!$D$50)</f>
        <v>46214</v>
      </c>
      <c r="N32" s="8">
        <f>IF('Lån Översikt'!$D$22 = "JA", 
    IF(Q32 = TRUE, 'Lån Översikt'!$D$24 - M32, 'Lån Översikt'!$D$24 - M32 + 18300), 
    'Lån Översikt'!$D$24 - M32)
</f>
        <v>3586</v>
      </c>
      <c r="O32" s="25" t="b">
        <f t="shared" si="5"/>
        <v>0</v>
      </c>
      <c r="P32" s="26" t="b">
        <f t="shared" si="6"/>
        <v>0</v>
      </c>
      <c r="Q32" s="27" t="b">
        <f t="shared" si="8"/>
        <v>0</v>
      </c>
    </row>
    <row r="33">
      <c r="B33" s="13"/>
      <c r="D33" s="13"/>
      <c r="F33" s="8">
        <v>30.0</v>
      </c>
      <c r="G33" s="11">
        <f t="shared" si="1"/>
        <v>3568750</v>
      </c>
      <c r="H33" s="9">
        <f>INT(IF(AND('Lån Översikt'!$D$7="JA", 'Lån Översikt'!$D$11="JA", 'Lån Översikt'!$D$8="JA"), (G33*(('Lån Översikt'!$C$7/100*'Lån Översikt'!$C$11/100)-'Lån Översikt'!$C$8/100))/12, IF(AND('Lån Översikt'!$D$7="JA", 'Lån Översikt'!$D$11="JA", 'Lån Översikt'!$D$8="NEJ"), (G33*(('Lån Översikt'!$C$7/100*'Lån Översikt'!$C$11/100))/12), 0)))
</f>
        <v>9121</v>
      </c>
      <c r="I33" s="8">
        <f t="shared" si="2"/>
        <v>4712</v>
      </c>
      <c r="J33" s="8">
        <f>IF(AND(P33, O33), 0, IF(O33, INT((('Lån Översikt'!$C$5 * 1 / 100) / 12)), INT((('Lån Översikt'!$C$5 * 'Lån Översikt'!$C$15 / 100) / 12))))
</f>
        <v>6250</v>
      </c>
      <c r="K33" s="8">
        <f t="shared" si="3"/>
        <v>4166</v>
      </c>
      <c r="L33" s="8">
        <f t="shared" si="4"/>
        <v>24249</v>
      </c>
      <c r="M33" s="8">
        <f>(L33 + 'Lån Översikt'!$D$50)</f>
        <v>46198</v>
      </c>
      <c r="N33" s="8">
        <f>IF('Lån Översikt'!$D$22 = "JA", 
    IF(Q33 = TRUE, 'Lån Översikt'!$D$24 - M33, 'Lån Översikt'!$D$24 - M33 + 18300), 
    'Lån Översikt'!$D$24 - M33)
</f>
        <v>3602</v>
      </c>
      <c r="O33" s="25" t="b">
        <f t="shared" si="5"/>
        <v>0</v>
      </c>
      <c r="P33" s="26" t="b">
        <f t="shared" si="6"/>
        <v>0</v>
      </c>
      <c r="Q33" s="27" t="b">
        <f t="shared" si="8"/>
        <v>0</v>
      </c>
    </row>
    <row r="34">
      <c r="B34" s="16"/>
      <c r="F34" s="8">
        <v>31.0</v>
      </c>
      <c r="G34" s="11">
        <f t="shared" si="1"/>
        <v>3562500</v>
      </c>
      <c r="H34" s="9">
        <f>INT(IF(AND('Lån Översikt'!$D$7="JA", 'Lån Översikt'!$D$11="JA", 'Lån Översikt'!$D$8="JA"), (G34*(('Lån Översikt'!$C$7/100*'Lån Översikt'!$C$11/100)-'Lån Översikt'!$C$8/100))/12, IF(AND('Lån Översikt'!$D$7="JA", 'Lån Översikt'!$D$11="JA", 'Lån Översikt'!$D$8="NEJ"), (G34*(('Lån Översikt'!$C$7/100*'Lån Översikt'!$C$11/100))/12), 0)))
</f>
        <v>9105</v>
      </c>
      <c r="I34" s="8">
        <f t="shared" si="2"/>
        <v>4712</v>
      </c>
      <c r="J34" s="8">
        <f>IF(AND(P34, O34), 0, IF(O34, INT((('Lån Översikt'!$C$5 * 1 / 100) / 12)), INT((('Lån Översikt'!$C$5 * 'Lån Översikt'!$C$15 / 100) / 12))))
</f>
        <v>6250</v>
      </c>
      <c r="K34" s="8">
        <f t="shared" si="3"/>
        <v>4166</v>
      </c>
      <c r="L34" s="8">
        <f t="shared" si="4"/>
        <v>24233</v>
      </c>
      <c r="M34" s="8">
        <f>(L34 + 'Lån Översikt'!$D$50)</f>
        <v>46182</v>
      </c>
      <c r="N34" s="8">
        <f>IF('Lån Översikt'!$D$22 = "JA", 
    IF(Q34 = TRUE, 'Lån Översikt'!$D$24 - M34, 'Lån Översikt'!$D$24 - M34 + 18300), 
    'Lån Översikt'!$D$24 - M34)
</f>
        <v>3618</v>
      </c>
      <c r="O34" s="25" t="b">
        <f t="shared" si="5"/>
        <v>0</v>
      </c>
      <c r="P34" s="26" t="b">
        <f t="shared" si="6"/>
        <v>0</v>
      </c>
      <c r="Q34" s="27" t="b">
        <f t="shared" si="8"/>
        <v>0</v>
      </c>
    </row>
    <row r="35">
      <c r="F35" s="8">
        <v>32.0</v>
      </c>
      <c r="G35" s="11">
        <f t="shared" si="1"/>
        <v>3556250</v>
      </c>
      <c r="H35" s="9">
        <f>INT(IF(AND('Lån Översikt'!$D$7="JA", 'Lån Översikt'!$D$11="JA", 'Lån Översikt'!$D$8="JA"), (G35*(('Lån Översikt'!$C$7/100*'Lån Översikt'!$C$11/100)-'Lån Översikt'!$C$8/100))/12, IF(AND('Lån Översikt'!$D$7="JA", 'Lån Översikt'!$D$11="JA", 'Lån Översikt'!$D$8="NEJ"), (G35*(('Lån Översikt'!$C$7/100*'Lån Översikt'!$C$11/100))/12), 0)))
</f>
        <v>9089</v>
      </c>
      <c r="I35" s="8">
        <f t="shared" si="2"/>
        <v>4712</v>
      </c>
      <c r="J35" s="8">
        <f>IF(AND(P35, O35), 0, IF(O35, INT((('Lån Översikt'!$C$5 * 1 / 100) / 12)), INT((('Lån Översikt'!$C$5 * 'Lån Översikt'!$C$15 / 100) / 12))))
</f>
        <v>6250</v>
      </c>
      <c r="K35" s="8">
        <f t="shared" si="3"/>
        <v>4166</v>
      </c>
      <c r="L35" s="8">
        <f t="shared" si="4"/>
        <v>24217</v>
      </c>
      <c r="M35" s="8">
        <f>(L35 + 'Lån Översikt'!$D$50)</f>
        <v>46166</v>
      </c>
      <c r="N35" s="8">
        <f>IF('Lån Översikt'!$D$22 = "JA", 
    IF(Q35 = TRUE, 'Lån Översikt'!$D$24 - M35, 'Lån Översikt'!$D$24 - M35 + 18300), 
    'Lån Översikt'!$D$24 - M35)
</f>
        <v>3634</v>
      </c>
      <c r="O35" s="25" t="b">
        <f t="shared" si="5"/>
        <v>0</v>
      </c>
      <c r="P35" s="26" t="b">
        <f t="shared" si="6"/>
        <v>0</v>
      </c>
      <c r="Q35" s="27" t="b">
        <f t="shared" si="8"/>
        <v>0</v>
      </c>
    </row>
    <row r="36">
      <c r="F36" s="8">
        <v>33.0</v>
      </c>
      <c r="G36" s="11">
        <f t="shared" si="1"/>
        <v>3550000</v>
      </c>
      <c r="H36" s="9">
        <f>INT(IF(AND('Lån Översikt'!$D$7="JA", 'Lån Översikt'!$D$11="JA", 'Lån Översikt'!$D$8="JA"), (G36*(('Lån Översikt'!$C$7/100*'Lån Översikt'!$C$11/100)-'Lån Översikt'!$C$8/100))/12, IF(AND('Lån Översikt'!$D$7="JA", 'Lån Översikt'!$D$11="JA", 'Lån Översikt'!$D$8="NEJ"), (G36*(('Lån Översikt'!$C$7/100*'Lån Översikt'!$C$11/100))/12), 0)))
</f>
        <v>9073</v>
      </c>
      <c r="I36" s="8">
        <f t="shared" si="2"/>
        <v>4712</v>
      </c>
      <c r="J36" s="8">
        <f>IF(AND(P36, O36), 0, IF(O36, INT((('Lån Översikt'!$C$5 * 1 / 100) / 12)), INT((('Lån Översikt'!$C$5 * 'Lån Översikt'!$C$15 / 100) / 12))))
</f>
        <v>6250</v>
      </c>
      <c r="K36" s="8">
        <f t="shared" si="3"/>
        <v>4166</v>
      </c>
      <c r="L36" s="8">
        <f t="shared" si="4"/>
        <v>24201</v>
      </c>
      <c r="M36" s="8">
        <f>(L36 + 'Lån Översikt'!$D$50)</f>
        <v>46150</v>
      </c>
      <c r="N36" s="8">
        <f>IF('Lån Översikt'!$D$22 = "JA", 
    IF(Q36 = TRUE, 'Lån Översikt'!$D$24 - M36, 'Lån Översikt'!$D$24 - M36 + 18300), 
    'Lån Översikt'!$D$24 - M36)
</f>
        <v>3650</v>
      </c>
      <c r="O36" s="25" t="b">
        <f t="shared" si="5"/>
        <v>0</v>
      </c>
      <c r="P36" s="26" t="b">
        <f t="shared" si="6"/>
        <v>0</v>
      </c>
      <c r="Q36" s="27" t="b">
        <f t="shared" si="8"/>
        <v>0</v>
      </c>
    </row>
    <row r="37">
      <c r="F37" s="8">
        <v>34.0</v>
      </c>
      <c r="G37" s="11">
        <f t="shared" si="1"/>
        <v>3543750</v>
      </c>
      <c r="H37" s="9">
        <f>INT(IF(AND('Lån Översikt'!$D$7="JA", 'Lån Översikt'!$D$11="JA", 'Lån Översikt'!$D$8="JA"), (G37*(('Lån Översikt'!$C$7/100*'Lån Översikt'!$C$11/100)-'Lån Översikt'!$C$8/100))/12, IF(AND('Lån Översikt'!$D$7="JA", 'Lån Översikt'!$D$11="JA", 'Lån Översikt'!$D$8="NEJ"), (G37*(('Lån Översikt'!$C$7/100*'Lån Översikt'!$C$11/100))/12), 0)))
</f>
        <v>9057</v>
      </c>
      <c r="I37" s="8">
        <f t="shared" si="2"/>
        <v>4712</v>
      </c>
      <c r="J37" s="8">
        <f>IF(AND(P37, O37), 0, IF(O37, INT((('Lån Översikt'!$C$5 * 1 / 100) / 12)), INT((('Lån Översikt'!$C$5 * 'Lån Översikt'!$C$15 / 100) / 12))))
</f>
        <v>6250</v>
      </c>
      <c r="K37" s="8">
        <f t="shared" si="3"/>
        <v>4166</v>
      </c>
      <c r="L37" s="8">
        <f t="shared" si="4"/>
        <v>24185</v>
      </c>
      <c r="M37" s="8">
        <f>(L37 + 'Lån Översikt'!$D$50)</f>
        <v>46134</v>
      </c>
      <c r="N37" s="8">
        <f>IF('Lån Översikt'!$D$22 = "JA", 
    IF(Q37 = TRUE, 'Lån Översikt'!$D$24 - M37, 'Lån Översikt'!$D$24 - M37 + 18300), 
    'Lån Översikt'!$D$24 - M37)
</f>
        <v>3666</v>
      </c>
      <c r="O37" s="25" t="b">
        <f t="shared" si="5"/>
        <v>0</v>
      </c>
      <c r="P37" s="26" t="b">
        <f t="shared" si="6"/>
        <v>0</v>
      </c>
      <c r="Q37" s="27" t="b">
        <f t="shared" si="8"/>
        <v>0</v>
      </c>
    </row>
    <row r="38">
      <c r="F38" s="8">
        <v>35.0</v>
      </c>
      <c r="G38" s="11">
        <f t="shared" si="1"/>
        <v>3537500</v>
      </c>
      <c r="H38" s="9">
        <f>INT(IF(AND('Lån Översikt'!$D$7="JA", 'Lån Översikt'!$D$11="JA", 'Lån Översikt'!$D$8="JA"), (G38*(('Lån Översikt'!$C$7/100*'Lån Översikt'!$C$11/100)-'Lån Översikt'!$C$8/100))/12, IF(AND('Lån Översikt'!$D$7="JA", 'Lån Översikt'!$D$11="JA", 'Lån Översikt'!$D$8="NEJ"), (G38*(('Lån Översikt'!$C$7/100*'Lån Översikt'!$C$11/100))/12), 0)))
</f>
        <v>9041</v>
      </c>
      <c r="I38" s="8">
        <f t="shared" si="2"/>
        <v>4712</v>
      </c>
      <c r="J38" s="8">
        <f>IF(AND(P38, O38), 0, IF(O38, INT((('Lån Översikt'!$C$5 * 1 / 100) / 12)), INT((('Lån Översikt'!$C$5 * 'Lån Översikt'!$C$15 / 100) / 12))))
</f>
        <v>6250</v>
      </c>
      <c r="K38" s="8">
        <f t="shared" si="3"/>
        <v>4166</v>
      </c>
      <c r="L38" s="8">
        <f t="shared" si="4"/>
        <v>24169</v>
      </c>
      <c r="M38" s="8">
        <f>(L38 + 'Lån Översikt'!$D$50)</f>
        <v>46118</v>
      </c>
      <c r="N38" s="8">
        <f>IF('Lån Översikt'!$D$22 = "JA", 
    IF(Q38 = TRUE, 'Lån Översikt'!$D$24 - M38, 'Lån Översikt'!$D$24 - M38 + 18300), 
    'Lån Översikt'!$D$24 - M38)
</f>
        <v>3682</v>
      </c>
      <c r="O38" s="25" t="b">
        <f t="shared" si="5"/>
        <v>0</v>
      </c>
      <c r="P38" s="26" t="b">
        <f t="shared" si="6"/>
        <v>0</v>
      </c>
      <c r="Q38" s="27" t="b">
        <f t="shared" si="8"/>
        <v>0</v>
      </c>
    </row>
    <row r="39">
      <c r="F39" s="8">
        <v>36.0</v>
      </c>
      <c r="G39" s="11">
        <f t="shared" si="1"/>
        <v>3531250</v>
      </c>
      <c r="H39" s="9">
        <f>INT(IF(AND('Lån Översikt'!$D$7="JA", 'Lån Översikt'!$D$11="JA", 'Lån Översikt'!$D$8="JA"), (G39*(('Lån Översikt'!$C$7/100*'Lån Översikt'!$C$11/100)-'Lån Översikt'!$C$8/100))/12, IF(AND('Lån Översikt'!$D$7="JA", 'Lån Översikt'!$D$11="JA", 'Lån Översikt'!$D$8="NEJ"), (G39*(('Lån Översikt'!$C$7/100*'Lån Översikt'!$C$11/100))/12), 0)))
</f>
        <v>9025</v>
      </c>
      <c r="I39" s="8">
        <f t="shared" si="2"/>
        <v>4712</v>
      </c>
      <c r="J39" s="8">
        <f>IF(AND(P39, O39), 0, IF(O39, INT((('Lån Översikt'!$C$5 * 1 / 100) / 12)), INT((('Lån Översikt'!$C$5 * 'Lån Översikt'!$C$15 / 100) / 12))))
</f>
        <v>6250</v>
      </c>
      <c r="K39" s="8">
        <f t="shared" si="3"/>
        <v>4166</v>
      </c>
      <c r="L39" s="8">
        <f t="shared" si="4"/>
        <v>24153</v>
      </c>
      <c r="M39" s="8">
        <f>(L39 + 'Lån Översikt'!$D$50)</f>
        <v>46102</v>
      </c>
      <c r="N39" s="8">
        <f>IF('Lån Översikt'!$D$22 = "JA", 
    IF(Q39 = TRUE, 'Lån Översikt'!$D$24 - M39, 'Lån Översikt'!$D$24 - M39 + 18300), 
    'Lån Översikt'!$D$24 - M39)
</f>
        <v>3698</v>
      </c>
      <c r="O39" s="25" t="b">
        <f t="shared" si="5"/>
        <v>0</v>
      </c>
      <c r="P39" s="26" t="b">
        <f t="shared" si="6"/>
        <v>0</v>
      </c>
      <c r="Q39" s="27" t="b">
        <f t="shared" si="8"/>
        <v>0</v>
      </c>
    </row>
    <row r="40">
      <c r="F40" s="8">
        <v>37.0</v>
      </c>
      <c r="G40" s="11">
        <f t="shared" si="1"/>
        <v>3525000</v>
      </c>
      <c r="H40" s="9">
        <f>INT(IF(AND('Lån Översikt'!$D$7="JA", 'Lån Översikt'!$D$11="JA", 'Lån Översikt'!$D$8="JA"), (G40*(('Lån Översikt'!$C$7/100*'Lån Översikt'!$C$11/100)-'Lån Översikt'!$C$8/100))/12, IF(AND('Lån Översikt'!$D$7="JA", 'Lån Översikt'!$D$11="JA", 'Lån Översikt'!$D$8="NEJ"), (G40*(('Lån Översikt'!$C$7/100*'Lån Översikt'!$C$11/100))/12), 0)))
</f>
        <v>9009</v>
      </c>
      <c r="I40" s="8">
        <f t="shared" si="2"/>
        <v>4712</v>
      </c>
      <c r="J40" s="8">
        <f>IF(AND(P40, O40), 0, IF(O40, INT((('Lån Översikt'!$C$5 * 1 / 100) / 12)), INT((('Lån Översikt'!$C$5 * 'Lån Översikt'!$C$15 / 100) / 12))))
</f>
        <v>6250</v>
      </c>
      <c r="K40" s="8">
        <f t="shared" si="3"/>
        <v>4166</v>
      </c>
      <c r="L40" s="8">
        <f t="shared" si="4"/>
        <v>24137</v>
      </c>
      <c r="M40" s="8">
        <f>(L40 + 'Lån Översikt'!$D$50)</f>
        <v>46086</v>
      </c>
      <c r="N40" s="8">
        <f>IF('Lån Översikt'!$D$22 = "JA", 
    IF(Q40 = TRUE, 'Lån Översikt'!$D$24 - M40, 'Lån Översikt'!$D$24 - M40 + 18300), 
    'Lån Översikt'!$D$24 - M40)
</f>
        <v>3714</v>
      </c>
      <c r="O40" s="25" t="b">
        <f t="shared" si="5"/>
        <v>0</v>
      </c>
      <c r="P40" s="26" t="b">
        <f t="shared" si="6"/>
        <v>0</v>
      </c>
      <c r="Q40" s="27" t="b">
        <f t="shared" si="8"/>
        <v>0</v>
      </c>
    </row>
    <row r="41">
      <c r="F41" s="8">
        <v>38.0</v>
      </c>
      <c r="G41" s="11">
        <f t="shared" si="1"/>
        <v>3518750</v>
      </c>
      <c r="H41" s="9">
        <f>INT(IF(AND('Lån Översikt'!$D$7="JA", 'Lån Översikt'!$D$11="JA", 'Lån Översikt'!$D$8="JA"), (G41*(('Lån Översikt'!$C$7/100*'Lån Översikt'!$C$11/100)-'Lån Översikt'!$C$8/100))/12, IF(AND('Lån Översikt'!$D$7="JA", 'Lån Översikt'!$D$11="JA", 'Lån Översikt'!$D$8="NEJ"), (G41*(('Lån Översikt'!$C$7/100*'Lån Översikt'!$C$11/100))/12), 0)))
</f>
        <v>8993</v>
      </c>
      <c r="I41" s="8">
        <f t="shared" si="2"/>
        <v>4712</v>
      </c>
      <c r="J41" s="8">
        <f>IF(AND(P41, O41), 0, IF(O41, INT((('Lån Översikt'!$C$5 * 1 / 100) / 12)), INT((('Lån Översikt'!$C$5 * 'Lån Översikt'!$C$15 / 100) / 12))))
</f>
        <v>6250</v>
      </c>
      <c r="K41" s="8">
        <f t="shared" si="3"/>
        <v>4166</v>
      </c>
      <c r="L41" s="8">
        <f t="shared" si="4"/>
        <v>24121</v>
      </c>
      <c r="M41" s="8">
        <f>(L41 + 'Lån Översikt'!$D$50)</f>
        <v>46070</v>
      </c>
      <c r="N41" s="8">
        <f>IF('Lån Översikt'!$D$22 = "JA", 
    IF(Q41 = TRUE, 'Lån Översikt'!$D$24 - M41, 'Lån Översikt'!$D$24 - M41 + 18300), 
    'Lån Översikt'!$D$24 - M41)
</f>
        <v>3730</v>
      </c>
      <c r="O41" s="25" t="b">
        <f t="shared" si="5"/>
        <v>0</v>
      </c>
      <c r="P41" s="26" t="b">
        <f t="shared" si="6"/>
        <v>0</v>
      </c>
      <c r="Q41" s="27" t="b">
        <f t="shared" si="8"/>
        <v>0</v>
      </c>
    </row>
    <row r="42">
      <c r="F42" s="8">
        <v>39.0</v>
      </c>
      <c r="G42" s="11">
        <f t="shared" si="1"/>
        <v>3512500</v>
      </c>
      <c r="H42" s="9">
        <f>INT(IF(AND('Lån Översikt'!$D$7="JA", 'Lån Översikt'!$D$11="JA", 'Lån Översikt'!$D$8="JA"), (G42*(('Lån Översikt'!$C$7/100*'Lån Översikt'!$C$11/100)-'Lån Översikt'!$C$8/100))/12, IF(AND('Lån Översikt'!$D$7="JA", 'Lån Översikt'!$D$11="JA", 'Lån Översikt'!$D$8="NEJ"), (G42*(('Lån Översikt'!$C$7/100*'Lån Översikt'!$C$11/100))/12), 0)))
</f>
        <v>8977</v>
      </c>
      <c r="I42" s="8">
        <f t="shared" si="2"/>
        <v>4712</v>
      </c>
      <c r="J42" s="8">
        <f>IF(AND(P42, O42), 0, IF(O42, INT((('Lån Översikt'!$C$5 * 1 / 100) / 12)), INT((('Lån Översikt'!$C$5 * 'Lån Översikt'!$C$15 / 100) / 12))))
</f>
        <v>6250</v>
      </c>
      <c r="K42" s="8">
        <f t="shared" si="3"/>
        <v>4166</v>
      </c>
      <c r="L42" s="8">
        <f t="shared" si="4"/>
        <v>24105</v>
      </c>
      <c r="M42" s="8">
        <f>(L42 + 'Lån Översikt'!$D$50)</f>
        <v>46054</v>
      </c>
      <c r="N42" s="8">
        <f>IF('Lån Översikt'!$D$22 = "JA", 
    IF(Q42 = TRUE, 'Lån Översikt'!$D$24 - M42, 'Lån Översikt'!$D$24 - M42 + 18300), 
    'Lån Översikt'!$D$24 - M42)
</f>
        <v>3746</v>
      </c>
      <c r="O42" s="25" t="b">
        <f t="shared" si="5"/>
        <v>0</v>
      </c>
      <c r="P42" s="26" t="b">
        <f t="shared" si="6"/>
        <v>0</v>
      </c>
      <c r="Q42" s="27" t="b">
        <f t="shared" si="8"/>
        <v>0</v>
      </c>
    </row>
    <row r="43">
      <c r="F43" s="8">
        <v>40.0</v>
      </c>
      <c r="G43" s="11">
        <f t="shared" si="1"/>
        <v>3506250</v>
      </c>
      <c r="H43" s="9">
        <f>INT(IF(AND('Lån Översikt'!$D$7="JA", 'Lån Översikt'!$D$11="JA", 'Lån Översikt'!$D$8="JA"), (G43*(('Lån Översikt'!$C$7/100*'Lån Översikt'!$C$11/100)-'Lån Översikt'!$C$8/100))/12, IF(AND('Lån Översikt'!$D$7="JA", 'Lån Översikt'!$D$11="JA", 'Lån Översikt'!$D$8="NEJ"), (G43*(('Lån Översikt'!$C$7/100*'Lån Översikt'!$C$11/100))/12), 0)))
</f>
        <v>8961</v>
      </c>
      <c r="I43" s="8">
        <f t="shared" si="2"/>
        <v>4712</v>
      </c>
      <c r="J43" s="8">
        <f>IF(AND(P43, O43), 0, IF(O43, INT((('Lån Översikt'!$C$5 * 1 / 100) / 12)), INT((('Lån Översikt'!$C$5 * 'Lån Översikt'!$C$15 / 100) / 12))))
</f>
        <v>6250</v>
      </c>
      <c r="K43" s="8">
        <f t="shared" si="3"/>
        <v>4166</v>
      </c>
      <c r="L43" s="8">
        <f t="shared" si="4"/>
        <v>24089</v>
      </c>
      <c r="M43" s="8">
        <f>(L43 + 'Lån Översikt'!$D$50)</f>
        <v>46038</v>
      </c>
      <c r="N43" s="8">
        <f>IF('Lån Översikt'!$D$22 = "JA", 
    IF(Q43 = TRUE, 'Lån Översikt'!$D$24 - M43, 'Lån Översikt'!$D$24 - M43 + 18300), 
    'Lån Översikt'!$D$24 - M43)
</f>
        <v>3762</v>
      </c>
      <c r="O43" s="25" t="b">
        <f t="shared" si="5"/>
        <v>0</v>
      </c>
      <c r="P43" s="26" t="b">
        <f t="shared" si="6"/>
        <v>0</v>
      </c>
      <c r="Q43" s="27" t="b">
        <f t="shared" si="8"/>
        <v>0</v>
      </c>
    </row>
    <row r="44">
      <c r="F44" s="8">
        <v>41.0</v>
      </c>
      <c r="G44" s="11">
        <f t="shared" si="1"/>
        <v>3500000</v>
      </c>
      <c r="H44" s="9">
        <f>INT(IF(AND('Lån Översikt'!$D$7="JA", 'Lån Översikt'!$D$11="JA", 'Lån Översikt'!$D$8="JA"), (G44*(('Lån Översikt'!$C$7/100*'Lån Översikt'!$C$11/100)-'Lån Översikt'!$C$8/100))/12, IF(AND('Lån Översikt'!$D$7="JA", 'Lån Översikt'!$D$11="JA", 'Lån Översikt'!$D$8="NEJ"), (G44*(('Lån Översikt'!$C$7/100*'Lån Översikt'!$C$11/100))/12), 0)))
</f>
        <v>8945</v>
      </c>
      <c r="I44" s="8">
        <f t="shared" si="2"/>
        <v>4712</v>
      </c>
      <c r="J44" s="8">
        <f>IF(AND(P44, O44), 0, IF(O44, INT((('Lån Översikt'!$C$5 * 1 / 100) / 12)), INT((('Lån Översikt'!$C$5 * 'Lån Översikt'!$C$15 / 100) / 12))))
</f>
        <v>6250</v>
      </c>
      <c r="K44" s="8">
        <f t="shared" si="3"/>
        <v>4166</v>
      </c>
      <c r="L44" s="8">
        <f t="shared" si="4"/>
        <v>24073</v>
      </c>
      <c r="M44" s="8">
        <f>(L44 + 'Lån Översikt'!$D$50)</f>
        <v>46022</v>
      </c>
      <c r="N44" s="8">
        <f>IF('Lån Översikt'!$D$22 = "JA", 
    IF(Q44 = TRUE, 'Lån Översikt'!$D$24 - M44, 'Lån Översikt'!$D$24 - M44 + 18300), 
    'Lån Översikt'!$D$24 - M44)
</f>
        <v>3778</v>
      </c>
      <c r="O44" s="25" t="b">
        <f t="shared" si="5"/>
        <v>0</v>
      </c>
      <c r="P44" s="26" t="b">
        <f t="shared" si="6"/>
        <v>0</v>
      </c>
      <c r="Q44" s="27" t="b">
        <f t="shared" si="8"/>
        <v>0</v>
      </c>
    </row>
    <row r="45">
      <c r="F45" s="8">
        <v>42.0</v>
      </c>
      <c r="G45" s="11">
        <f t="shared" si="1"/>
        <v>3493750</v>
      </c>
      <c r="H45" s="9">
        <f>INT(IF(AND('Lån Översikt'!$D$7="JA", 'Lån Översikt'!$D$11="JA", 'Lån Översikt'!$D$8="JA"), (G45*(('Lån Översikt'!$C$7/100*'Lån Översikt'!$C$11/100)-'Lån Översikt'!$C$8/100))/12, IF(AND('Lån Översikt'!$D$7="JA", 'Lån Översikt'!$D$11="JA", 'Lån Översikt'!$D$8="NEJ"), (G45*(('Lån Översikt'!$C$7/100*'Lån Översikt'!$C$11/100))/12), 0)))
</f>
        <v>8929</v>
      </c>
      <c r="I45" s="8">
        <f t="shared" si="2"/>
        <v>4712</v>
      </c>
      <c r="J45" s="8">
        <f>IF(AND(P45, O45), 0, IF(O45, INT((('Lån Översikt'!$C$5 * 1 / 100) / 12)), INT((('Lån Översikt'!$C$5 * 'Lån Översikt'!$C$15 / 100) / 12))))
</f>
        <v>6250</v>
      </c>
      <c r="K45" s="8">
        <f t="shared" si="3"/>
        <v>4166</v>
      </c>
      <c r="L45" s="8">
        <f t="shared" si="4"/>
        <v>24057</v>
      </c>
      <c r="M45" s="8">
        <f>(L45 + 'Lån Översikt'!$D$50)</f>
        <v>46006</v>
      </c>
      <c r="N45" s="8">
        <f>IF('Lån Översikt'!$D$22 = "JA", 
    IF(Q45 = TRUE, 'Lån Översikt'!$D$24 - M45, 'Lån Översikt'!$D$24 - M45 + 18300), 
    'Lån Översikt'!$D$24 - M45)
</f>
        <v>3794</v>
      </c>
      <c r="O45" s="25" t="b">
        <f t="shared" si="5"/>
        <v>0</v>
      </c>
      <c r="P45" s="26" t="b">
        <f t="shared" si="6"/>
        <v>0</v>
      </c>
      <c r="Q45" s="27" t="b">
        <f t="shared" si="8"/>
        <v>0</v>
      </c>
    </row>
    <row r="46">
      <c r="F46" s="8">
        <v>43.0</v>
      </c>
      <c r="G46" s="11">
        <f t="shared" si="1"/>
        <v>3487500</v>
      </c>
      <c r="H46" s="9">
        <f>INT(IF(AND('Lån Översikt'!$D$7="JA", 'Lån Översikt'!$D$11="JA", 'Lån Översikt'!$D$8="JA"), (G46*(('Lån Översikt'!$C$7/100*'Lån Översikt'!$C$11/100)-'Lån Översikt'!$C$8/100))/12, IF(AND('Lån Översikt'!$D$7="JA", 'Lån Översikt'!$D$11="JA", 'Lån Översikt'!$D$8="NEJ"), (G46*(('Lån Översikt'!$C$7/100*'Lån Översikt'!$C$11/100))/12), 0)))
</f>
        <v>8913</v>
      </c>
      <c r="I46" s="8">
        <f t="shared" si="2"/>
        <v>4712</v>
      </c>
      <c r="J46" s="8">
        <f>IF(AND(P46, O46), 0, IF(O46, INT((('Lån Översikt'!$C$5 * 1 / 100) / 12)), INT((('Lån Översikt'!$C$5 * 'Lån Översikt'!$C$15 / 100) / 12))))
</f>
        <v>6250</v>
      </c>
      <c r="K46" s="8">
        <f t="shared" si="3"/>
        <v>4166</v>
      </c>
      <c r="L46" s="8">
        <f t="shared" si="4"/>
        <v>24041</v>
      </c>
      <c r="M46" s="8">
        <f>(L46 + 'Lån Översikt'!$D$50)</f>
        <v>45990</v>
      </c>
      <c r="N46" s="8">
        <f>IF('Lån Översikt'!$D$22 = "JA", 
    IF(Q46 = TRUE, 'Lån Översikt'!$D$24 - M46, 'Lån Översikt'!$D$24 - M46 + 18300), 
    'Lån Översikt'!$D$24 - M46)
</f>
        <v>3810</v>
      </c>
      <c r="O46" s="25" t="b">
        <f t="shared" si="5"/>
        <v>0</v>
      </c>
      <c r="P46" s="26" t="b">
        <f t="shared" si="6"/>
        <v>0</v>
      </c>
      <c r="Q46" s="27" t="b">
        <f t="shared" si="8"/>
        <v>0</v>
      </c>
    </row>
    <row r="47">
      <c r="F47" s="8">
        <v>44.0</v>
      </c>
      <c r="G47" s="11">
        <f t="shared" si="1"/>
        <v>3481250</v>
      </c>
      <c r="H47" s="9">
        <f>INT(IF(AND('Lån Översikt'!$D$7="JA", 'Lån Översikt'!$D$11="JA", 'Lån Översikt'!$D$8="JA"), (G47*(('Lån Översikt'!$C$7/100*'Lån Översikt'!$C$11/100)-'Lån Översikt'!$C$8/100))/12, IF(AND('Lån Översikt'!$D$7="JA", 'Lån Översikt'!$D$11="JA", 'Lån Översikt'!$D$8="NEJ"), (G47*(('Lån Översikt'!$C$7/100*'Lån Översikt'!$C$11/100))/12), 0)))
</f>
        <v>8897</v>
      </c>
      <c r="I47" s="8">
        <f t="shared" si="2"/>
        <v>4712</v>
      </c>
      <c r="J47" s="8">
        <f>IF(AND(P47, O47), 0, IF(O47, INT((('Lån Översikt'!$C$5 * 1 / 100) / 12)), INT((('Lån Översikt'!$C$5 * 'Lån Översikt'!$C$15 / 100) / 12))))
</f>
        <v>6250</v>
      </c>
      <c r="K47" s="8">
        <f t="shared" si="3"/>
        <v>4166</v>
      </c>
      <c r="L47" s="8">
        <f t="shared" si="4"/>
        <v>24025</v>
      </c>
      <c r="M47" s="8">
        <f>(L47 + 'Lån Översikt'!$D$50)</f>
        <v>45974</v>
      </c>
      <c r="N47" s="8">
        <f>IF('Lån Översikt'!$D$22 = "JA", 
    IF(Q47 = TRUE, 'Lån Översikt'!$D$24 - M47, 'Lån Översikt'!$D$24 - M47 + 18300), 
    'Lån Översikt'!$D$24 - M47)
</f>
        <v>3826</v>
      </c>
      <c r="O47" s="25" t="b">
        <f t="shared" si="5"/>
        <v>0</v>
      </c>
      <c r="P47" s="26" t="b">
        <f t="shared" si="6"/>
        <v>0</v>
      </c>
      <c r="Q47" s="27" t="b">
        <f t="shared" si="8"/>
        <v>0</v>
      </c>
    </row>
    <row r="48">
      <c r="F48" s="8">
        <v>45.0</v>
      </c>
      <c r="G48" s="11">
        <f t="shared" si="1"/>
        <v>3475000</v>
      </c>
      <c r="H48" s="9">
        <f>INT(IF(AND('Lån Översikt'!$D$7="JA", 'Lån Översikt'!$D$11="JA", 'Lån Översikt'!$D$8="JA"), (G48*(('Lån Översikt'!$C$7/100*'Lån Översikt'!$C$11/100)-'Lån Översikt'!$C$8/100))/12, IF(AND('Lån Översikt'!$D$7="JA", 'Lån Översikt'!$D$11="JA", 'Lån Översikt'!$D$8="NEJ"), (G48*(('Lån Översikt'!$C$7/100*'Lån Översikt'!$C$11/100))/12), 0)))
</f>
        <v>8881</v>
      </c>
      <c r="I48" s="8">
        <f t="shared" si="2"/>
        <v>4712</v>
      </c>
      <c r="J48" s="8">
        <f>IF(AND(P48, O48), 0, IF(O48, INT((('Lån Översikt'!$C$5 * 1 / 100) / 12)), INT((('Lån Översikt'!$C$5 * 'Lån Översikt'!$C$15 / 100) / 12))))
</f>
        <v>6250</v>
      </c>
      <c r="K48" s="8">
        <f t="shared" si="3"/>
        <v>4166</v>
      </c>
      <c r="L48" s="8">
        <f t="shared" si="4"/>
        <v>24009</v>
      </c>
      <c r="M48" s="8">
        <f>(L48 + 'Lån Översikt'!$D$50)</f>
        <v>45958</v>
      </c>
      <c r="N48" s="8">
        <f>IF('Lån Översikt'!$D$22 = "JA", 
    IF(Q48 = TRUE, 'Lån Översikt'!$D$24 - M48, 'Lån Översikt'!$D$24 - M48 + 18300), 
    'Lån Översikt'!$D$24 - M48)
</f>
        <v>3842</v>
      </c>
      <c r="O48" s="25" t="b">
        <f t="shared" si="5"/>
        <v>0</v>
      </c>
      <c r="P48" s="26" t="b">
        <f t="shared" si="6"/>
        <v>0</v>
      </c>
      <c r="Q48" s="27" t="b">
        <f t="shared" si="8"/>
        <v>0</v>
      </c>
    </row>
    <row r="49">
      <c r="F49" s="8">
        <v>46.0</v>
      </c>
      <c r="G49" s="11">
        <f t="shared" si="1"/>
        <v>3468750</v>
      </c>
      <c r="H49" s="9">
        <f>INT(IF(AND('Lån Översikt'!$D$7="JA", 'Lån Översikt'!$D$11="JA", 'Lån Översikt'!$D$8="JA"), (G49*(('Lån Översikt'!$C$7/100*'Lån Översikt'!$C$11/100)-'Lån Översikt'!$C$8/100))/12, IF(AND('Lån Översikt'!$D$7="JA", 'Lån Översikt'!$D$11="JA", 'Lån Översikt'!$D$8="NEJ"), (G49*(('Lån Översikt'!$C$7/100*'Lån Översikt'!$C$11/100))/12), 0)))
</f>
        <v>8865</v>
      </c>
      <c r="I49" s="8">
        <f t="shared" si="2"/>
        <v>4712</v>
      </c>
      <c r="J49" s="8">
        <f>IF(AND(P49, O49), 0, IF(O49, INT((('Lån Översikt'!$C$5 * 1 / 100) / 12)), INT((('Lån Översikt'!$C$5 * 'Lån Översikt'!$C$15 / 100) / 12))))
</f>
        <v>6250</v>
      </c>
      <c r="K49" s="8">
        <f t="shared" si="3"/>
        <v>4166</v>
      </c>
      <c r="L49" s="8">
        <f t="shared" si="4"/>
        <v>23993</v>
      </c>
      <c r="M49" s="8">
        <f>(L49 + 'Lån Översikt'!$D$50)</f>
        <v>45942</v>
      </c>
      <c r="N49" s="8">
        <f>IF('Lån Översikt'!$D$22 = "JA", 
    IF(Q49 = TRUE, 'Lån Översikt'!$D$24 - M49, 'Lån Översikt'!$D$24 - M49 + 18300), 
    'Lån Översikt'!$D$24 - M49)
</f>
        <v>3858</v>
      </c>
      <c r="O49" s="25" t="b">
        <f t="shared" si="5"/>
        <v>0</v>
      </c>
      <c r="P49" s="26" t="b">
        <f t="shared" si="6"/>
        <v>0</v>
      </c>
      <c r="Q49" s="27" t="b">
        <f t="shared" si="8"/>
        <v>0</v>
      </c>
    </row>
    <row r="50">
      <c r="F50" s="8">
        <v>47.0</v>
      </c>
      <c r="G50" s="11">
        <f t="shared" si="1"/>
        <v>3462500</v>
      </c>
      <c r="H50" s="9">
        <f>INT(IF(AND('Lån Översikt'!$D$7="JA", 'Lån Översikt'!$D$11="JA", 'Lån Översikt'!$D$8="JA"), (G50*(('Lån Översikt'!$C$7/100*'Lån Översikt'!$C$11/100)-'Lån Översikt'!$C$8/100))/12, IF(AND('Lån Översikt'!$D$7="JA", 'Lån Översikt'!$D$11="JA", 'Lån Översikt'!$D$8="NEJ"), (G50*(('Lån Översikt'!$C$7/100*'Lån Översikt'!$C$11/100))/12), 0)))
</f>
        <v>8849</v>
      </c>
      <c r="I50" s="8">
        <f t="shared" si="2"/>
        <v>4712</v>
      </c>
      <c r="J50" s="8">
        <f>IF(AND(P50, O50), 0, IF(O50, INT((('Lån Översikt'!$C$5 * 1 / 100) / 12)), INT((('Lån Översikt'!$C$5 * 'Lån Översikt'!$C$15 / 100) / 12))))
</f>
        <v>6250</v>
      </c>
      <c r="K50" s="8">
        <f t="shared" si="3"/>
        <v>4166</v>
      </c>
      <c r="L50" s="8">
        <f t="shared" si="4"/>
        <v>23977</v>
      </c>
      <c r="M50" s="8">
        <f>(L50 + 'Lån Översikt'!$D$50)</f>
        <v>45926</v>
      </c>
      <c r="N50" s="8">
        <f>IF('Lån Översikt'!$D$22 = "JA", 
    IF(Q50 = TRUE, 'Lån Översikt'!$D$24 - M50, 'Lån Översikt'!$D$24 - M50 + 18300), 
    'Lån Översikt'!$D$24 - M50)
</f>
        <v>3874</v>
      </c>
      <c r="O50" s="25" t="b">
        <f t="shared" si="5"/>
        <v>0</v>
      </c>
      <c r="P50" s="26" t="b">
        <f t="shared" si="6"/>
        <v>0</v>
      </c>
      <c r="Q50" s="27" t="b">
        <f t="shared" si="8"/>
        <v>0</v>
      </c>
    </row>
    <row r="51">
      <c r="F51" s="8">
        <v>48.0</v>
      </c>
      <c r="G51" s="11">
        <f t="shared" si="1"/>
        <v>3456250</v>
      </c>
      <c r="H51" s="9">
        <f>INT(IF(AND('Lån Översikt'!$D$7="JA", 'Lån Översikt'!$D$11="JA", 'Lån Översikt'!$D$8="JA"), (G51*(('Lån Översikt'!$C$7/100*'Lån Översikt'!$C$11/100)-'Lån Översikt'!$C$8/100))/12, IF(AND('Lån Översikt'!$D$7="JA", 'Lån Översikt'!$D$11="JA", 'Lån Översikt'!$D$8="NEJ"), (G51*(('Lån Översikt'!$C$7/100*'Lån Översikt'!$C$11/100))/12), 0)))
</f>
        <v>8833</v>
      </c>
      <c r="I51" s="8">
        <f t="shared" si="2"/>
        <v>4712</v>
      </c>
      <c r="J51" s="8">
        <f>IF(AND(P51, O51), 0, IF(O51, INT((('Lån Översikt'!$C$5 * 1 / 100) / 12)), INT((('Lån Översikt'!$C$5 * 'Lån Översikt'!$C$15 / 100) / 12))))
</f>
        <v>6250</v>
      </c>
      <c r="K51" s="8">
        <f t="shared" si="3"/>
        <v>4166</v>
      </c>
      <c r="L51" s="8">
        <f t="shared" si="4"/>
        <v>23961</v>
      </c>
      <c r="M51" s="8">
        <f>(L51 + 'Lån Översikt'!$D$50)</f>
        <v>45910</v>
      </c>
      <c r="N51" s="8">
        <f>IF('Lån Översikt'!$D$22 = "JA", 
    IF(Q51 = TRUE, 'Lån Översikt'!$D$24 - M51, 'Lån Översikt'!$D$24 - M51 + 18300), 
    'Lån Översikt'!$D$24 - M51)
</f>
        <v>3890</v>
      </c>
      <c r="O51" s="25" t="b">
        <f t="shared" si="5"/>
        <v>0</v>
      </c>
      <c r="P51" s="26" t="b">
        <f t="shared" si="6"/>
        <v>0</v>
      </c>
      <c r="Q51" s="27" t="b">
        <f t="shared" si="8"/>
        <v>0</v>
      </c>
    </row>
    <row r="52">
      <c r="F52" s="8">
        <v>49.0</v>
      </c>
      <c r="G52" s="11">
        <f t="shared" si="1"/>
        <v>3450000</v>
      </c>
      <c r="H52" s="9">
        <f>INT(IF(AND('Lån Översikt'!$D$7="JA", 'Lån Översikt'!$D$11="JA", 'Lån Översikt'!$D$8="JA"), (G52*(('Lån Översikt'!$C$7/100*'Lån Översikt'!$C$11/100)-'Lån Översikt'!$C$8/100))/12, IF(AND('Lån Översikt'!$D$7="JA", 'Lån Översikt'!$D$11="JA", 'Lån Översikt'!$D$8="NEJ"), (G52*(('Lån Översikt'!$C$7/100*'Lån Översikt'!$C$11/100))/12), 0)))
</f>
        <v>8817</v>
      </c>
      <c r="I52" s="8">
        <f t="shared" si="2"/>
        <v>4712</v>
      </c>
      <c r="J52" s="8">
        <f>IF(AND(P52, O52), 0, IF(O52, INT((('Lån Översikt'!$C$5 * 1 / 100) / 12)), INT((('Lån Översikt'!$C$5 * 'Lån Översikt'!$C$15 / 100) / 12))))
</f>
        <v>6250</v>
      </c>
      <c r="K52" s="8">
        <f t="shared" si="3"/>
        <v>4166</v>
      </c>
      <c r="L52" s="8">
        <f t="shared" si="4"/>
        <v>23945</v>
      </c>
      <c r="M52" s="8">
        <f>(L52 + 'Lån Översikt'!$D$50)</f>
        <v>45894</v>
      </c>
      <c r="N52" s="8">
        <f>IF('Lån Översikt'!$D$22 = "JA", 
    IF(Q52 = TRUE, 'Lån Översikt'!$D$24 - M52, 'Lån Översikt'!$D$24 - M52 + 18300), 
    'Lån Översikt'!$D$24 - M52)
</f>
        <v>3906</v>
      </c>
      <c r="O52" s="25" t="b">
        <f t="shared" si="5"/>
        <v>0</v>
      </c>
      <c r="P52" s="26" t="b">
        <f t="shared" si="6"/>
        <v>0</v>
      </c>
      <c r="Q52" s="27" t="b">
        <f t="shared" si="8"/>
        <v>0</v>
      </c>
    </row>
    <row r="53">
      <c r="F53" s="8">
        <v>50.0</v>
      </c>
      <c r="G53" s="11">
        <f t="shared" si="1"/>
        <v>3443750</v>
      </c>
      <c r="H53" s="9">
        <f>INT(IF(AND('Lån Översikt'!$D$7="JA", 'Lån Översikt'!$D$11="JA", 'Lån Översikt'!$D$8="JA"), (G53*(('Lån Översikt'!$C$7/100*'Lån Översikt'!$C$11/100)-'Lån Översikt'!$C$8/100))/12, IF(AND('Lån Översikt'!$D$7="JA", 'Lån Översikt'!$D$11="JA", 'Lån Översikt'!$D$8="NEJ"), (G53*(('Lån Översikt'!$C$7/100*'Lån Översikt'!$C$11/100))/12), 0)))
</f>
        <v>8801</v>
      </c>
      <c r="I53" s="8">
        <f t="shared" si="2"/>
        <v>4712</v>
      </c>
      <c r="J53" s="8">
        <f>IF(AND(P53, O53), 0, IF(O53, INT((('Lån Översikt'!$C$5 * 1 / 100) / 12)), INT((('Lån Översikt'!$C$5 * 'Lån Översikt'!$C$15 / 100) / 12))))
</f>
        <v>6250</v>
      </c>
      <c r="K53" s="8">
        <f t="shared" si="3"/>
        <v>4166</v>
      </c>
      <c r="L53" s="8">
        <f t="shared" si="4"/>
        <v>23929</v>
      </c>
      <c r="M53" s="8">
        <f>(L53 + 'Lån Översikt'!$D$50)</f>
        <v>45878</v>
      </c>
      <c r="N53" s="8">
        <f>IF('Lån Översikt'!$D$22 = "JA", 
    IF(Q53 = TRUE, 'Lån Översikt'!$D$24 - M53, 'Lån Översikt'!$D$24 - M53 + 18300), 
    'Lån Översikt'!$D$24 - M53)
</f>
        <v>3922</v>
      </c>
      <c r="O53" s="25" t="b">
        <f t="shared" si="5"/>
        <v>0</v>
      </c>
      <c r="P53" s="26" t="b">
        <f t="shared" si="6"/>
        <v>0</v>
      </c>
      <c r="Q53" s="27" t="b">
        <f t="shared" si="8"/>
        <v>0</v>
      </c>
    </row>
    <row r="54">
      <c r="F54" s="8">
        <v>51.0</v>
      </c>
      <c r="G54" s="11">
        <f t="shared" si="1"/>
        <v>3437500</v>
      </c>
      <c r="H54" s="9">
        <f>INT(IF(AND('Lån Översikt'!$D$7="JA", 'Lån Översikt'!$D$11="JA", 'Lån Översikt'!$D$8="JA"), (G54*(('Lån Översikt'!$C$7/100*'Lån Översikt'!$C$11/100)-'Lån Översikt'!$C$8/100))/12, IF(AND('Lån Översikt'!$D$7="JA", 'Lån Översikt'!$D$11="JA", 'Lån Översikt'!$D$8="NEJ"), (G54*(('Lån Översikt'!$C$7/100*'Lån Översikt'!$C$11/100))/12), 0)))
</f>
        <v>8785</v>
      </c>
      <c r="I54" s="8">
        <f t="shared" si="2"/>
        <v>4712</v>
      </c>
      <c r="J54" s="8">
        <f>IF(AND(P54, O54), 0, IF(O54, INT((('Lån Översikt'!$C$5 * 1 / 100) / 12)), INT((('Lån Översikt'!$C$5 * 'Lån Översikt'!$C$15 / 100) / 12))))
</f>
        <v>6250</v>
      </c>
      <c r="K54" s="8">
        <f t="shared" si="3"/>
        <v>4166</v>
      </c>
      <c r="L54" s="8">
        <f t="shared" si="4"/>
        <v>23913</v>
      </c>
      <c r="M54" s="8">
        <f>(L54 + 'Lån Översikt'!$D$50)</f>
        <v>45862</v>
      </c>
      <c r="N54" s="8">
        <f>IF('Lån Översikt'!$D$22 = "JA", 
    IF(Q54 = TRUE, 'Lån Översikt'!$D$24 - M54, 'Lån Översikt'!$D$24 - M54 + 18300), 
    'Lån Översikt'!$D$24 - M54)
</f>
        <v>3938</v>
      </c>
      <c r="O54" s="25" t="b">
        <f t="shared" si="5"/>
        <v>0</v>
      </c>
      <c r="P54" s="26" t="b">
        <f t="shared" si="6"/>
        <v>0</v>
      </c>
      <c r="Q54" s="27" t="b">
        <f t="shared" si="8"/>
        <v>0</v>
      </c>
    </row>
    <row r="55">
      <c r="F55" s="8">
        <v>52.0</v>
      </c>
      <c r="G55" s="11">
        <f t="shared" si="1"/>
        <v>3431250</v>
      </c>
      <c r="H55" s="9">
        <f>INT(IF(AND('Lån Översikt'!$D$7="JA", 'Lån Översikt'!$D$11="JA", 'Lån Översikt'!$D$8="JA"), (G55*(('Lån Översikt'!$C$7/100*'Lån Översikt'!$C$11/100)-'Lån Översikt'!$C$8/100))/12, IF(AND('Lån Översikt'!$D$7="JA", 'Lån Översikt'!$D$11="JA", 'Lån Översikt'!$D$8="NEJ"), (G55*(('Lån Översikt'!$C$7/100*'Lån Översikt'!$C$11/100))/12), 0)))
</f>
        <v>8769</v>
      </c>
      <c r="I55" s="8">
        <f t="shared" si="2"/>
        <v>4712</v>
      </c>
      <c r="J55" s="8">
        <f>IF(AND(P55, O55), 0, IF(O55, INT((('Lån Översikt'!$C$5 * 1 / 100) / 12)), INT((('Lån Översikt'!$C$5 * 'Lån Översikt'!$C$15 / 100) / 12))))
</f>
        <v>6250</v>
      </c>
      <c r="K55" s="8">
        <f t="shared" si="3"/>
        <v>4166</v>
      </c>
      <c r="L55" s="8">
        <f t="shared" si="4"/>
        <v>23897</v>
      </c>
      <c r="M55" s="8">
        <f>(L55 + 'Lån Översikt'!$D$50)</f>
        <v>45846</v>
      </c>
      <c r="N55" s="8">
        <f>IF('Lån Översikt'!$D$22 = "JA", 
    IF(Q55 = TRUE, 'Lån Översikt'!$D$24 - M55, 'Lån Översikt'!$D$24 - M55 + 18300), 
    'Lån Översikt'!$D$24 - M55)
</f>
        <v>3954</v>
      </c>
      <c r="O55" s="25" t="b">
        <f t="shared" si="5"/>
        <v>0</v>
      </c>
      <c r="P55" s="26" t="b">
        <f t="shared" si="6"/>
        <v>0</v>
      </c>
      <c r="Q55" s="27" t="b">
        <f t="shared" si="8"/>
        <v>0</v>
      </c>
    </row>
    <row r="56">
      <c r="F56" s="8">
        <v>53.0</v>
      </c>
      <c r="G56" s="11">
        <f t="shared" si="1"/>
        <v>3425000</v>
      </c>
      <c r="H56" s="9">
        <f>INT(IF(AND('Lån Översikt'!$D$7="JA", 'Lån Översikt'!$D$11="JA", 'Lån Översikt'!$D$8="JA"), (G56*(('Lån Översikt'!$C$7/100*'Lån Översikt'!$C$11/100)-'Lån Översikt'!$C$8/100))/12, IF(AND('Lån Översikt'!$D$7="JA", 'Lån Översikt'!$D$11="JA", 'Lån Översikt'!$D$8="NEJ"), (G56*(('Lån Översikt'!$C$7/100*'Lån Översikt'!$C$11/100))/12), 0)))
</f>
        <v>8753</v>
      </c>
      <c r="I56" s="8">
        <f t="shared" si="2"/>
        <v>4712</v>
      </c>
      <c r="J56" s="8">
        <f>IF(AND(P56, O56), 0, IF(O56, INT((('Lån Översikt'!$C$5 * 1 / 100) / 12)), INT((('Lån Översikt'!$C$5 * 'Lån Översikt'!$C$15 / 100) / 12))))
</f>
        <v>6250</v>
      </c>
      <c r="K56" s="8">
        <f t="shared" si="3"/>
        <v>4166</v>
      </c>
      <c r="L56" s="8">
        <f t="shared" si="4"/>
        <v>23881</v>
      </c>
      <c r="M56" s="8">
        <f>(L56 + 'Lån Översikt'!$D$50)</f>
        <v>45830</v>
      </c>
      <c r="N56" s="8">
        <f>IF('Lån Översikt'!$D$22 = "JA", 
    IF(Q56 = TRUE, 'Lån Översikt'!$D$24 - M56, 'Lån Översikt'!$D$24 - M56 + 18300), 
    'Lån Översikt'!$D$24 - M56)
</f>
        <v>3970</v>
      </c>
      <c r="O56" s="25" t="b">
        <f t="shared" si="5"/>
        <v>0</v>
      </c>
      <c r="P56" s="26" t="b">
        <f t="shared" si="6"/>
        <v>0</v>
      </c>
      <c r="Q56" s="27" t="b">
        <f t="shared" si="8"/>
        <v>0</v>
      </c>
    </row>
    <row r="57">
      <c r="F57" s="8">
        <v>54.0</v>
      </c>
      <c r="G57" s="11">
        <f t="shared" si="1"/>
        <v>3418750</v>
      </c>
      <c r="H57" s="9">
        <f>INT(IF(AND('Lån Översikt'!$D$7="JA", 'Lån Översikt'!$D$11="JA", 'Lån Översikt'!$D$8="JA"), (G57*(('Lån Översikt'!$C$7/100*'Lån Översikt'!$C$11/100)-'Lån Översikt'!$C$8/100))/12, IF(AND('Lån Översikt'!$D$7="JA", 'Lån Översikt'!$D$11="JA", 'Lån Översikt'!$D$8="NEJ"), (G57*(('Lån Översikt'!$C$7/100*'Lån Översikt'!$C$11/100))/12), 0)))
</f>
        <v>8737</v>
      </c>
      <c r="I57" s="8">
        <f t="shared" si="2"/>
        <v>4712</v>
      </c>
      <c r="J57" s="8">
        <f>IF(AND(P57, O57), 0, IF(O57, INT((('Lån Översikt'!$C$5 * 1 / 100) / 12)), INT((('Lån Översikt'!$C$5 * 'Lån Översikt'!$C$15 / 100) / 12))))
</f>
        <v>6250</v>
      </c>
      <c r="K57" s="8">
        <f t="shared" si="3"/>
        <v>4166</v>
      </c>
      <c r="L57" s="8">
        <f t="shared" si="4"/>
        <v>23865</v>
      </c>
      <c r="M57" s="8">
        <f>(L57 + 'Lån Översikt'!$D$50)</f>
        <v>45814</v>
      </c>
      <c r="N57" s="8">
        <f>IF('Lån Översikt'!$D$22 = "JA", 
    IF(Q57 = TRUE, 'Lån Översikt'!$D$24 - M57, 'Lån Översikt'!$D$24 - M57 + 18300), 
    'Lån Översikt'!$D$24 - M57)
</f>
        <v>3986</v>
      </c>
      <c r="O57" s="25" t="b">
        <f t="shared" si="5"/>
        <v>0</v>
      </c>
      <c r="P57" s="26" t="b">
        <f t="shared" si="6"/>
        <v>0</v>
      </c>
      <c r="Q57" s="27" t="b">
        <f t="shared" si="8"/>
        <v>0</v>
      </c>
    </row>
    <row r="58">
      <c r="F58" s="8">
        <v>55.0</v>
      </c>
      <c r="G58" s="11">
        <f t="shared" si="1"/>
        <v>3412500</v>
      </c>
      <c r="H58" s="9">
        <f>INT(IF(AND('Lån Översikt'!$D$7="JA", 'Lån Översikt'!$D$11="JA", 'Lån Översikt'!$D$8="JA"), (G58*(('Lån Översikt'!$C$7/100*'Lån Översikt'!$C$11/100)-'Lån Översikt'!$C$8/100))/12, IF(AND('Lån Översikt'!$D$7="JA", 'Lån Översikt'!$D$11="JA", 'Lån Översikt'!$D$8="NEJ"), (G58*(('Lån Översikt'!$C$7/100*'Lån Översikt'!$C$11/100))/12), 0)))
</f>
        <v>8721</v>
      </c>
      <c r="I58" s="8">
        <f t="shared" si="2"/>
        <v>4712</v>
      </c>
      <c r="J58" s="8">
        <f>IF(AND(P58, O58), 0, IF(O58, INT((('Lån Översikt'!$C$5 * 1 / 100) / 12)), INT((('Lån Översikt'!$C$5 * 'Lån Översikt'!$C$15 / 100) / 12))))
</f>
        <v>6250</v>
      </c>
      <c r="K58" s="8">
        <f t="shared" si="3"/>
        <v>4166</v>
      </c>
      <c r="L58" s="8">
        <f t="shared" si="4"/>
        <v>23849</v>
      </c>
      <c r="M58" s="8">
        <f>(L58 + 'Lån Översikt'!$D$50)</f>
        <v>45798</v>
      </c>
      <c r="N58" s="8">
        <f>IF('Lån Översikt'!$D$22 = "JA", 
    IF(Q58 = TRUE, 'Lån Översikt'!$D$24 - M58, 'Lån Översikt'!$D$24 - M58 + 18300), 
    'Lån Översikt'!$D$24 - M58)
</f>
        <v>4002</v>
      </c>
      <c r="O58" s="25" t="b">
        <f t="shared" si="5"/>
        <v>0</v>
      </c>
      <c r="P58" s="26" t="b">
        <f t="shared" si="6"/>
        <v>0</v>
      </c>
      <c r="Q58" s="27" t="b">
        <f t="shared" si="8"/>
        <v>0</v>
      </c>
    </row>
    <row r="59">
      <c r="F59" s="8">
        <v>56.0</v>
      </c>
      <c r="G59" s="11">
        <f t="shared" si="1"/>
        <v>3406250</v>
      </c>
      <c r="H59" s="9">
        <f>INT(IF(AND('Lån Översikt'!$D$7="JA", 'Lån Översikt'!$D$11="JA", 'Lån Översikt'!$D$8="JA"), (G59*(('Lån Översikt'!$C$7/100*'Lån Översikt'!$C$11/100)-'Lån Översikt'!$C$8/100))/12, IF(AND('Lån Översikt'!$D$7="JA", 'Lån Översikt'!$D$11="JA", 'Lån Översikt'!$D$8="NEJ"), (G59*(('Lån Översikt'!$C$7/100*'Lån Översikt'!$C$11/100))/12), 0)))
</f>
        <v>8705</v>
      </c>
      <c r="I59" s="8">
        <f t="shared" si="2"/>
        <v>4712</v>
      </c>
      <c r="J59" s="8">
        <f>IF(AND(P59, O59), 0, IF(O59, INT((('Lån Översikt'!$C$5 * 1 / 100) / 12)), INT((('Lån Översikt'!$C$5 * 'Lån Översikt'!$C$15 / 100) / 12))))
</f>
        <v>6250</v>
      </c>
      <c r="K59" s="8">
        <f t="shared" si="3"/>
        <v>4166</v>
      </c>
      <c r="L59" s="8">
        <f t="shared" si="4"/>
        <v>23833</v>
      </c>
      <c r="M59" s="8">
        <f>(L59 + 'Lån Översikt'!$D$50)</f>
        <v>45782</v>
      </c>
      <c r="N59" s="8">
        <f>IF('Lån Översikt'!$D$22 = "JA", 
    IF(Q59 = TRUE, 'Lån Översikt'!$D$24 - M59, 'Lån Översikt'!$D$24 - M59 + 18300), 
    'Lån Översikt'!$D$24 - M59)
</f>
        <v>4018</v>
      </c>
      <c r="O59" s="25" t="b">
        <f t="shared" si="5"/>
        <v>0</v>
      </c>
      <c r="P59" s="26" t="b">
        <f t="shared" si="6"/>
        <v>0</v>
      </c>
      <c r="Q59" s="27" t="b">
        <f t="shared" si="8"/>
        <v>0</v>
      </c>
    </row>
    <row r="60">
      <c r="F60" s="8">
        <v>57.0</v>
      </c>
      <c r="G60" s="11">
        <f t="shared" si="1"/>
        <v>3400000</v>
      </c>
      <c r="H60" s="9">
        <f>INT(IF(AND('Lån Översikt'!$D$7="JA", 'Lån Översikt'!$D$11="JA", 'Lån Översikt'!$D$8="JA"), (G60*(('Lån Översikt'!$C$7/100*'Lån Översikt'!$C$11/100)-'Lån Översikt'!$C$8/100))/12, IF(AND('Lån Översikt'!$D$7="JA", 'Lån Översikt'!$D$11="JA", 'Lån Översikt'!$D$8="NEJ"), (G60*(('Lån Översikt'!$C$7/100*'Lån Översikt'!$C$11/100))/12), 0)))
</f>
        <v>8689</v>
      </c>
      <c r="I60" s="8">
        <f t="shared" si="2"/>
        <v>4712</v>
      </c>
      <c r="J60" s="8">
        <f>IF(AND(P60, O60), 0, IF(O60, INT((('Lån Översikt'!$C$5 * 1 / 100) / 12)), INT((('Lån Översikt'!$C$5 * 'Lån Översikt'!$C$15 / 100) / 12))))
</f>
        <v>6250</v>
      </c>
      <c r="K60" s="8">
        <f t="shared" si="3"/>
        <v>4166</v>
      </c>
      <c r="L60" s="8">
        <f t="shared" si="4"/>
        <v>23817</v>
      </c>
      <c r="M60" s="8">
        <f>(L60 + 'Lån Översikt'!$D$50)</f>
        <v>45766</v>
      </c>
      <c r="N60" s="8">
        <f>IF('Lån Översikt'!$D$22 = "JA", 
    IF(Q60 = TRUE, 'Lån Översikt'!$D$24 - M60, 'Lån Översikt'!$D$24 - M60 + 18300), 
    'Lån Översikt'!$D$24 - M60)
</f>
        <v>4034</v>
      </c>
      <c r="O60" s="25" t="b">
        <f t="shared" si="5"/>
        <v>0</v>
      </c>
      <c r="P60" s="26" t="b">
        <f t="shared" si="6"/>
        <v>0</v>
      </c>
      <c r="Q60" s="27" t="b">
        <f t="shared" si="8"/>
        <v>0</v>
      </c>
    </row>
    <row r="61">
      <c r="F61" s="8">
        <v>58.0</v>
      </c>
      <c r="G61" s="11">
        <f t="shared" si="1"/>
        <v>3393750</v>
      </c>
      <c r="H61" s="9">
        <f>INT(IF(AND('Lån Översikt'!$D$7="JA", 'Lån Översikt'!$D$11="JA", 'Lån Översikt'!$D$8="JA"), (G61*(('Lån Översikt'!$C$7/100*'Lån Översikt'!$C$11/100)-'Lån Översikt'!$C$8/100))/12, IF(AND('Lån Översikt'!$D$7="JA", 'Lån Översikt'!$D$11="JA", 'Lån Översikt'!$D$8="NEJ"), (G61*(('Lån Översikt'!$C$7/100*'Lån Översikt'!$C$11/100))/12), 0)))
</f>
        <v>8673</v>
      </c>
      <c r="I61" s="8">
        <f t="shared" si="2"/>
        <v>4712</v>
      </c>
      <c r="J61" s="8">
        <f>IF(AND(P61, O61), 0, IF(O61, INT((('Lån Översikt'!$C$5 * 1 / 100) / 12)), INT((('Lån Översikt'!$C$5 * 'Lån Översikt'!$C$15 / 100) / 12))))
</f>
        <v>6250</v>
      </c>
      <c r="K61" s="8">
        <f t="shared" si="3"/>
        <v>4166</v>
      </c>
      <c r="L61" s="8">
        <f t="shared" si="4"/>
        <v>23801</v>
      </c>
      <c r="M61" s="8">
        <f>(L61 + 'Lån Översikt'!$D$50)</f>
        <v>45750</v>
      </c>
      <c r="N61" s="8">
        <f>IF('Lån Översikt'!$D$22 = "JA", 
    IF(Q61 = TRUE, 'Lån Översikt'!$D$24 - M61, 'Lån Översikt'!$D$24 - M61 + 18300), 
    'Lån Översikt'!$D$24 - M61)
</f>
        <v>4050</v>
      </c>
      <c r="O61" s="25" t="b">
        <f t="shared" si="5"/>
        <v>0</v>
      </c>
      <c r="P61" s="26" t="b">
        <f t="shared" si="6"/>
        <v>0</v>
      </c>
      <c r="Q61" s="27" t="b">
        <f t="shared" si="8"/>
        <v>0</v>
      </c>
    </row>
    <row r="62">
      <c r="F62" s="8">
        <v>59.0</v>
      </c>
      <c r="G62" s="11">
        <f t="shared" si="1"/>
        <v>3387500</v>
      </c>
      <c r="H62" s="9">
        <f>INT(IF(AND('Lån Översikt'!$D$7="JA", 'Lån Översikt'!$D$11="JA", 'Lån Översikt'!$D$8="JA"), (G62*(('Lån Översikt'!$C$7/100*'Lån Översikt'!$C$11/100)-'Lån Översikt'!$C$8/100))/12, IF(AND('Lån Översikt'!$D$7="JA", 'Lån Översikt'!$D$11="JA", 'Lån Översikt'!$D$8="NEJ"), (G62*(('Lån Översikt'!$C$7/100*'Lån Översikt'!$C$11/100))/12), 0)))
</f>
        <v>8657</v>
      </c>
      <c r="I62" s="8">
        <f t="shared" si="2"/>
        <v>4712</v>
      </c>
      <c r="J62" s="8">
        <f>IF(AND(P62, O62), 0, IF(O62, INT((('Lån Översikt'!$C$5 * 1 / 100) / 12)), INT((('Lån Översikt'!$C$5 * 'Lån Översikt'!$C$15 / 100) / 12))))
</f>
        <v>6250</v>
      </c>
      <c r="K62" s="8">
        <f t="shared" si="3"/>
        <v>4166</v>
      </c>
      <c r="L62" s="8">
        <f t="shared" si="4"/>
        <v>23785</v>
      </c>
      <c r="M62" s="8">
        <f>(L62 + 'Lån Översikt'!$D$50)</f>
        <v>45734</v>
      </c>
      <c r="N62" s="8">
        <f>IF('Lån Översikt'!$D$22 = "JA", 
    IF(Q62 = TRUE, 'Lån Översikt'!$D$24 - M62, 'Lån Översikt'!$D$24 - M62 + 18300), 
    'Lån Översikt'!$D$24 - M62)
</f>
        <v>4066</v>
      </c>
      <c r="O62" s="25" t="b">
        <f t="shared" si="5"/>
        <v>0</v>
      </c>
      <c r="P62" s="26" t="b">
        <f t="shared" si="6"/>
        <v>0</v>
      </c>
      <c r="Q62" s="27" t="b">
        <f t="shared" si="8"/>
        <v>0</v>
      </c>
    </row>
    <row r="63">
      <c r="F63" s="8">
        <v>60.0</v>
      </c>
      <c r="G63" s="11">
        <f t="shared" si="1"/>
        <v>3381250</v>
      </c>
      <c r="H63" s="9">
        <f>INT(IF(AND('Lån Översikt'!$D$7="JA", 'Lån Översikt'!$D$11="JA", 'Lån Översikt'!$D$8="JA"), (G63*(('Lån Översikt'!$C$7/100*'Lån Översikt'!$C$11/100)-'Lån Översikt'!$C$8/100))/12, IF(AND('Lån Översikt'!$D$7="JA", 'Lån Översikt'!$D$11="JA", 'Lån Översikt'!$D$8="NEJ"), (G63*(('Lån Översikt'!$C$7/100*'Lån Översikt'!$C$11/100))/12), 0)))
</f>
        <v>8641</v>
      </c>
      <c r="I63" s="8">
        <f t="shared" si="2"/>
        <v>4712</v>
      </c>
      <c r="J63" s="8">
        <f>IF(AND(P63, O63), 0, IF(O63, INT((('Lån Översikt'!$C$5 * 1 / 100) / 12)), INT((('Lån Översikt'!$C$5 * 'Lån Översikt'!$C$15 / 100) / 12))))
</f>
        <v>6250</v>
      </c>
      <c r="K63" s="8">
        <f t="shared" si="3"/>
        <v>4166</v>
      </c>
      <c r="L63" s="8">
        <f t="shared" si="4"/>
        <v>23769</v>
      </c>
      <c r="M63" s="8">
        <f>(L63 + 'Lån Översikt'!$D$50)</f>
        <v>45718</v>
      </c>
      <c r="N63" s="8">
        <f>IF('Lån Översikt'!$D$22 = "JA", 
    IF(Q63 = TRUE, 'Lån Översikt'!$D$24 - M63, 'Lån Översikt'!$D$24 - M63 + 18300), 
    'Lån Översikt'!$D$24 - M63)
</f>
        <v>4082</v>
      </c>
      <c r="O63" s="25" t="b">
        <f t="shared" si="5"/>
        <v>0</v>
      </c>
      <c r="P63" s="26" t="b">
        <f t="shared" si="6"/>
        <v>0</v>
      </c>
      <c r="Q63" s="27" t="b">
        <f t="shared" si="8"/>
        <v>0</v>
      </c>
    </row>
    <row r="64">
      <c r="F64" s="8">
        <v>61.0</v>
      </c>
      <c r="G64" s="11">
        <f t="shared" si="1"/>
        <v>3375000</v>
      </c>
      <c r="H64" s="9">
        <f>INT(IF(AND('Lån Översikt'!$D$7="JA", 'Lån Översikt'!$D$11="JA", 'Lån Översikt'!$D$8="JA"), (G64*(('Lån Översikt'!$C$7/100*'Lån Översikt'!$C$11/100)-'Lån Översikt'!$C$8/100))/12, IF(AND('Lån Översikt'!$D$7="JA", 'Lån Översikt'!$D$11="JA", 'Lån Översikt'!$D$8="NEJ"), (G64*(('Lån Översikt'!$C$7/100*'Lån Översikt'!$C$11/100))/12), 0)))
</f>
        <v>8625</v>
      </c>
      <c r="I64" s="8">
        <f t="shared" si="2"/>
        <v>4712</v>
      </c>
      <c r="J64" s="8">
        <f>IF(AND(P64, O64), 0, IF(O64, INT((('Lån Översikt'!$C$5 * 1 / 100) / 12)), INT((('Lån Översikt'!$C$5 * 'Lån Översikt'!$C$15 / 100) / 12))))
</f>
        <v>6250</v>
      </c>
      <c r="K64" s="8">
        <f t="shared" si="3"/>
        <v>4166</v>
      </c>
      <c r="L64" s="8">
        <f t="shared" si="4"/>
        <v>23753</v>
      </c>
      <c r="M64" s="8">
        <f>(L64 + 'Lån Översikt'!$D$50)</f>
        <v>45702</v>
      </c>
      <c r="N64" s="8">
        <f>IF('Lån Översikt'!$D$22 = "JA", 
    IF(Q64 = TRUE, 'Lån Översikt'!$D$24 - M64, 'Lån Översikt'!$D$24 - M64 + 18300), 
    'Lån Översikt'!$D$24 - M64)
</f>
        <v>4098</v>
      </c>
      <c r="O64" s="25" t="b">
        <f t="shared" si="5"/>
        <v>0</v>
      </c>
      <c r="P64" s="26" t="b">
        <f t="shared" si="6"/>
        <v>0</v>
      </c>
      <c r="Q64" s="27" t="b">
        <f t="shared" si="8"/>
        <v>0</v>
      </c>
    </row>
    <row r="65">
      <c r="F65" s="8">
        <v>62.0</v>
      </c>
      <c r="G65" s="11">
        <f t="shared" si="1"/>
        <v>3368750</v>
      </c>
      <c r="H65" s="9">
        <f>INT(IF(AND('Lån Översikt'!$D$7="JA", 'Lån Översikt'!$D$11="JA", 'Lån Översikt'!$D$8="JA"), (G65*(('Lån Översikt'!$C$7/100*'Lån Översikt'!$C$11/100)-'Lån Översikt'!$C$8/100))/12, IF(AND('Lån Översikt'!$D$7="JA", 'Lån Översikt'!$D$11="JA", 'Lån Översikt'!$D$8="NEJ"), (G65*(('Lån Översikt'!$C$7/100*'Lån Översikt'!$C$11/100))/12), 0)))
</f>
        <v>8609</v>
      </c>
      <c r="I65" s="8">
        <f t="shared" si="2"/>
        <v>4712</v>
      </c>
      <c r="J65" s="8">
        <f>IF(AND(P65, O65), 0, IF(O65, INT((('Lån Översikt'!$C$5 * 1 / 100) / 12)), INT((('Lån Översikt'!$C$5 * 'Lån Översikt'!$C$15 / 100) / 12))))
</f>
        <v>6250</v>
      </c>
      <c r="K65" s="8">
        <f t="shared" si="3"/>
        <v>4166</v>
      </c>
      <c r="L65" s="8">
        <f t="shared" si="4"/>
        <v>23737</v>
      </c>
      <c r="M65" s="8">
        <f>(L65 + 'Lån Översikt'!$D$50)</f>
        <v>45686</v>
      </c>
      <c r="N65" s="8">
        <f>IF('Lån Översikt'!$D$22 = "JA", 
    IF(Q65 = TRUE, 'Lån Översikt'!$D$24 - M65, 'Lån Översikt'!$D$24 - M65 + 18300), 
    'Lån Översikt'!$D$24 - M65)
</f>
        <v>4114</v>
      </c>
      <c r="O65" s="25" t="b">
        <f t="shared" si="5"/>
        <v>0</v>
      </c>
      <c r="P65" s="26" t="b">
        <f t="shared" si="6"/>
        <v>0</v>
      </c>
      <c r="Q65" s="27" t="b">
        <f t="shared" si="8"/>
        <v>0</v>
      </c>
    </row>
    <row r="66">
      <c r="F66" s="8">
        <v>63.0</v>
      </c>
      <c r="G66" s="11">
        <f t="shared" si="1"/>
        <v>3362500</v>
      </c>
      <c r="H66" s="9">
        <f>INT(IF(AND('Lån Översikt'!$D$7="JA", 'Lån Översikt'!$D$11="JA", 'Lån Översikt'!$D$8="JA"), (G66*(('Lån Översikt'!$C$7/100*'Lån Översikt'!$C$11/100)-'Lån Översikt'!$C$8/100))/12, IF(AND('Lån Översikt'!$D$7="JA", 'Lån Översikt'!$D$11="JA", 'Lån Översikt'!$D$8="NEJ"), (G66*(('Lån Översikt'!$C$7/100*'Lån Översikt'!$C$11/100))/12), 0)))
</f>
        <v>8593</v>
      </c>
      <c r="I66" s="8">
        <f t="shared" si="2"/>
        <v>4712</v>
      </c>
      <c r="J66" s="8">
        <f>IF(AND(P66, O66), 0, IF(O66, INT((('Lån Översikt'!$C$5 * 1 / 100) / 12)), INT((('Lån Översikt'!$C$5 * 'Lån Översikt'!$C$15 / 100) / 12))))
</f>
        <v>6250</v>
      </c>
      <c r="K66" s="8">
        <f t="shared" si="3"/>
        <v>4166</v>
      </c>
      <c r="L66" s="8">
        <f t="shared" si="4"/>
        <v>23721</v>
      </c>
      <c r="M66" s="8">
        <f>(L66 + 'Lån Översikt'!$D$50)</f>
        <v>45670</v>
      </c>
      <c r="N66" s="8">
        <f>IF('Lån Översikt'!$D$22 = "JA", 
    IF(Q66 = TRUE, 'Lån Översikt'!$D$24 - M66, 'Lån Översikt'!$D$24 - M66 + 18300), 
    'Lån Översikt'!$D$24 - M66)
</f>
        <v>4130</v>
      </c>
      <c r="O66" s="25" t="b">
        <f t="shared" si="5"/>
        <v>0</v>
      </c>
      <c r="P66" s="26" t="b">
        <f t="shared" si="6"/>
        <v>0</v>
      </c>
      <c r="Q66" s="27" t="b">
        <f t="shared" si="8"/>
        <v>0</v>
      </c>
    </row>
    <row r="67">
      <c r="F67" s="8">
        <v>64.0</v>
      </c>
      <c r="G67" s="11">
        <f t="shared" si="1"/>
        <v>3356250</v>
      </c>
      <c r="H67" s="9">
        <f>INT(IF(AND('Lån Översikt'!$D$7="JA", 'Lån Översikt'!$D$11="JA", 'Lån Översikt'!$D$8="JA"), (G67*(('Lån Översikt'!$C$7/100*'Lån Översikt'!$C$11/100)-'Lån Översikt'!$C$8/100))/12, IF(AND('Lån Översikt'!$D$7="JA", 'Lån Översikt'!$D$11="JA", 'Lån Översikt'!$D$8="NEJ"), (G67*(('Lån Översikt'!$C$7/100*'Lån Översikt'!$C$11/100))/12), 0)))
</f>
        <v>8578</v>
      </c>
      <c r="I67" s="8">
        <f t="shared" si="2"/>
        <v>4712</v>
      </c>
      <c r="J67" s="8">
        <f>IF(AND(P67, O67), 0, IF(O67, INT((('Lån Översikt'!$C$5 * 1 / 100) / 12)), INT((('Lån Översikt'!$C$5 * 'Lån Översikt'!$C$15 / 100) / 12))))
</f>
        <v>6250</v>
      </c>
      <c r="K67" s="8">
        <f t="shared" si="3"/>
        <v>4166</v>
      </c>
      <c r="L67" s="8">
        <f t="shared" si="4"/>
        <v>23706</v>
      </c>
      <c r="M67" s="8">
        <f>(L67 + 'Lån Översikt'!$D$50)</f>
        <v>45655</v>
      </c>
      <c r="N67" s="8">
        <f>IF('Lån Översikt'!$D$22 = "JA", 
    IF(Q67 = TRUE, 'Lån Översikt'!$D$24 - M67, 'Lån Översikt'!$D$24 - M67 + 18300), 
    'Lån Översikt'!$D$24 - M67)
</f>
        <v>4145</v>
      </c>
      <c r="O67" s="25" t="b">
        <f t="shared" si="5"/>
        <v>0</v>
      </c>
      <c r="P67" s="26" t="b">
        <f t="shared" si="6"/>
        <v>0</v>
      </c>
      <c r="Q67" s="27" t="b">
        <f t="shared" si="8"/>
        <v>0</v>
      </c>
    </row>
    <row r="68">
      <c r="F68" s="8">
        <v>65.0</v>
      </c>
      <c r="G68" s="11">
        <f t="shared" si="1"/>
        <v>3350000</v>
      </c>
      <c r="H68" s="9">
        <f>INT(IF(AND('Lån Översikt'!$D$7="JA", 'Lån Översikt'!$D$11="JA", 'Lån Översikt'!$D$8="JA"), (G68*(('Lån Översikt'!$C$7/100*'Lån Översikt'!$C$11/100)-'Lån Översikt'!$C$8/100))/12, IF(AND('Lån Översikt'!$D$7="JA", 'Lån Översikt'!$D$11="JA", 'Lån Översikt'!$D$8="NEJ"), (G68*(('Lån Översikt'!$C$7/100*'Lån Översikt'!$C$11/100))/12), 0)))
</f>
        <v>8562</v>
      </c>
      <c r="I68" s="8">
        <f t="shared" si="2"/>
        <v>4712</v>
      </c>
      <c r="J68" s="8">
        <f>IF(AND(P68, O68), 0, IF(O68, INT((('Lån Översikt'!$C$5 * 1 / 100) / 12)), INT((('Lån Översikt'!$C$5 * 'Lån Översikt'!$C$15 / 100) / 12))))
</f>
        <v>6250</v>
      </c>
      <c r="K68" s="8">
        <f t="shared" si="3"/>
        <v>4166</v>
      </c>
      <c r="L68" s="8">
        <f t="shared" si="4"/>
        <v>23690</v>
      </c>
      <c r="M68" s="8">
        <f>(L68 + 'Lån Översikt'!$D$50)</f>
        <v>45639</v>
      </c>
      <c r="N68" s="8">
        <f>IF('Lån Översikt'!$D$22 = "JA", 
    IF(Q68 = TRUE, 'Lån Översikt'!$D$24 - M68, 'Lån Översikt'!$D$24 - M68 + 18300), 
    'Lån Översikt'!$D$24 - M68)
</f>
        <v>4161</v>
      </c>
      <c r="O68" s="25" t="b">
        <f t="shared" si="5"/>
        <v>0</v>
      </c>
      <c r="P68" s="26" t="b">
        <f t="shared" si="6"/>
        <v>0</v>
      </c>
      <c r="Q68" s="27" t="b">
        <f t="shared" si="8"/>
        <v>0</v>
      </c>
    </row>
    <row r="69">
      <c r="F69" s="8">
        <v>66.0</v>
      </c>
      <c r="G69" s="11">
        <f t="shared" si="1"/>
        <v>3343750</v>
      </c>
      <c r="H69" s="9">
        <f>INT(IF(AND('Lån Översikt'!$D$7="JA", 'Lån Översikt'!$D$11="JA", 'Lån Översikt'!$D$8="JA"), (G69*(('Lån Översikt'!$C$7/100*'Lån Översikt'!$C$11/100)-'Lån Översikt'!$C$8/100))/12, IF(AND('Lån Översikt'!$D$7="JA", 'Lån Översikt'!$D$11="JA", 'Lån Översikt'!$D$8="NEJ"), (G69*(('Lån Översikt'!$C$7/100*'Lån Översikt'!$C$11/100))/12), 0)))
</f>
        <v>8546</v>
      </c>
      <c r="I69" s="8">
        <f t="shared" si="2"/>
        <v>4712</v>
      </c>
      <c r="J69" s="8">
        <f>IF(AND(P69, O69), 0, IF(O69, INT((('Lån Översikt'!$C$5 * 1 / 100) / 12)), INT((('Lån Översikt'!$C$5 * 'Lån Översikt'!$C$15 / 100) / 12))))
</f>
        <v>6250</v>
      </c>
      <c r="K69" s="8">
        <f t="shared" si="3"/>
        <v>4166</v>
      </c>
      <c r="L69" s="8">
        <f t="shared" si="4"/>
        <v>23674</v>
      </c>
      <c r="M69" s="8">
        <f>(L69 + 'Lån Översikt'!$D$50)</f>
        <v>45623</v>
      </c>
      <c r="N69" s="8">
        <f>IF('Lån Översikt'!$D$22 = "JA", 
    IF(Q69 = TRUE, 'Lån Översikt'!$D$24 - M69, 'Lån Översikt'!$D$24 - M69 + 18300), 
    'Lån Översikt'!$D$24 - M69)
</f>
        <v>4177</v>
      </c>
      <c r="O69" s="25" t="b">
        <f t="shared" si="5"/>
        <v>0</v>
      </c>
      <c r="P69" s="26" t="b">
        <f t="shared" si="6"/>
        <v>0</v>
      </c>
      <c r="Q69" s="27" t="b">
        <f t="shared" si="8"/>
        <v>0</v>
      </c>
    </row>
    <row r="70">
      <c r="F70" s="8">
        <v>67.0</v>
      </c>
      <c r="G70" s="11">
        <f t="shared" si="1"/>
        <v>3337500</v>
      </c>
      <c r="H70" s="9">
        <f>INT(IF(AND('Lån Översikt'!$D$7="JA", 'Lån Översikt'!$D$11="JA", 'Lån Översikt'!$D$8="JA"), (G70*(('Lån Översikt'!$C$7/100*'Lån Översikt'!$C$11/100)-'Lån Översikt'!$C$8/100))/12, IF(AND('Lån Översikt'!$D$7="JA", 'Lån Översikt'!$D$11="JA", 'Lån Översikt'!$D$8="NEJ"), (G70*(('Lån Översikt'!$C$7/100*'Lån Översikt'!$C$11/100))/12), 0)))
</f>
        <v>8530</v>
      </c>
      <c r="I70" s="8">
        <f t="shared" si="2"/>
        <v>4712</v>
      </c>
      <c r="J70" s="8">
        <f>IF(AND(P70, O70), 0, IF(O70, INT((('Lån Översikt'!$C$5 * 1 / 100) / 12)), INT((('Lån Översikt'!$C$5 * 'Lån Översikt'!$C$15 / 100) / 12))))
</f>
        <v>6250</v>
      </c>
      <c r="K70" s="8">
        <f t="shared" si="3"/>
        <v>4166</v>
      </c>
      <c r="L70" s="8">
        <f t="shared" si="4"/>
        <v>23658</v>
      </c>
      <c r="M70" s="8">
        <f>(L70 + 'Lån Översikt'!$D$50)</f>
        <v>45607</v>
      </c>
      <c r="N70" s="8">
        <f>IF('Lån Översikt'!$D$22 = "JA", 
    IF(Q70 = TRUE, 'Lån Översikt'!$D$24 - M70, 'Lån Översikt'!$D$24 - M70 + 18300), 
    'Lån Översikt'!$D$24 - M70)
</f>
        <v>4193</v>
      </c>
      <c r="O70" s="25" t="b">
        <f t="shared" si="5"/>
        <v>0</v>
      </c>
      <c r="P70" s="26" t="b">
        <f t="shared" si="6"/>
        <v>0</v>
      </c>
      <c r="Q70" s="27" t="b">
        <f t="shared" si="8"/>
        <v>0</v>
      </c>
    </row>
    <row r="71">
      <c r="F71" s="8">
        <v>68.0</v>
      </c>
      <c r="G71" s="11">
        <f t="shared" si="1"/>
        <v>3331250</v>
      </c>
      <c r="H71" s="9">
        <f>INT(IF(AND('Lån Översikt'!$D$7="JA", 'Lån Översikt'!$D$11="JA", 'Lån Översikt'!$D$8="JA"), (G71*(('Lån Översikt'!$C$7/100*'Lån Översikt'!$C$11/100)-'Lån Översikt'!$C$8/100))/12, IF(AND('Lån Översikt'!$D$7="JA", 'Lån Översikt'!$D$11="JA", 'Lån Översikt'!$D$8="NEJ"), (G71*(('Lån Översikt'!$C$7/100*'Lån Översikt'!$C$11/100))/12), 0)))
</f>
        <v>8514</v>
      </c>
      <c r="I71" s="8">
        <f t="shared" si="2"/>
        <v>4712</v>
      </c>
      <c r="J71" s="8">
        <f>IF(AND(P71, O71), 0, IF(O71, INT((('Lån Översikt'!$C$5 * 1 / 100) / 12)), INT((('Lån Översikt'!$C$5 * 'Lån Översikt'!$C$15 / 100) / 12))))
</f>
        <v>6250</v>
      </c>
      <c r="K71" s="8">
        <f t="shared" si="3"/>
        <v>4166</v>
      </c>
      <c r="L71" s="8">
        <f t="shared" si="4"/>
        <v>23642</v>
      </c>
      <c r="M71" s="8">
        <f>(L71 + 'Lån Översikt'!$D$50)</f>
        <v>45591</v>
      </c>
      <c r="N71" s="8">
        <f>IF('Lån Översikt'!$D$22 = "JA", 
    IF(Q71 = TRUE, 'Lån Översikt'!$D$24 - M71, 'Lån Översikt'!$D$24 - M71 + 18300), 
    'Lån Översikt'!$D$24 - M71)
</f>
        <v>4209</v>
      </c>
      <c r="O71" s="25" t="b">
        <f t="shared" si="5"/>
        <v>0</v>
      </c>
      <c r="P71" s="26" t="b">
        <f t="shared" si="6"/>
        <v>0</v>
      </c>
      <c r="Q71" s="27" t="b">
        <f t="shared" si="8"/>
        <v>0</v>
      </c>
    </row>
    <row r="72">
      <c r="F72" s="8">
        <v>69.0</v>
      </c>
      <c r="G72" s="11">
        <f t="shared" si="1"/>
        <v>3325000</v>
      </c>
      <c r="H72" s="9">
        <f>INT(IF(AND('Lån Översikt'!$D$7="JA", 'Lån Översikt'!$D$11="JA", 'Lån Översikt'!$D$8="JA"), (G72*(('Lån Översikt'!$C$7/100*'Lån Översikt'!$C$11/100)-'Lån Översikt'!$C$8/100))/12, IF(AND('Lån Översikt'!$D$7="JA", 'Lån Översikt'!$D$11="JA", 'Lån Översikt'!$D$8="NEJ"), (G72*(('Lån Översikt'!$C$7/100*'Lån Översikt'!$C$11/100))/12), 0)))
</f>
        <v>8498</v>
      </c>
      <c r="I72" s="8">
        <f t="shared" si="2"/>
        <v>4712</v>
      </c>
      <c r="J72" s="8">
        <f>IF(AND(P72, O72), 0, IF(O72, INT((('Lån Översikt'!$C$5 * 1 / 100) / 12)), INT((('Lån Översikt'!$C$5 * 'Lån Översikt'!$C$15 / 100) / 12))))
</f>
        <v>6250</v>
      </c>
      <c r="K72" s="8">
        <f t="shared" si="3"/>
        <v>4166</v>
      </c>
      <c r="L72" s="8">
        <f t="shared" si="4"/>
        <v>23626</v>
      </c>
      <c r="M72" s="8">
        <f>(L72 + 'Lån Översikt'!$D$50)</f>
        <v>45575</v>
      </c>
      <c r="N72" s="8">
        <f>IF('Lån Översikt'!$D$22 = "JA", 
    IF(Q72 = TRUE, 'Lån Översikt'!$D$24 - M72, 'Lån Översikt'!$D$24 - M72 + 18300), 
    'Lån Översikt'!$D$24 - M72)
</f>
        <v>4225</v>
      </c>
      <c r="O72" s="25" t="b">
        <f t="shared" si="5"/>
        <v>0</v>
      </c>
      <c r="P72" s="26" t="b">
        <f t="shared" si="6"/>
        <v>0</v>
      </c>
      <c r="Q72" s="27" t="b">
        <f t="shared" si="8"/>
        <v>0</v>
      </c>
    </row>
    <row r="73">
      <c r="F73" s="8">
        <v>70.0</v>
      </c>
      <c r="G73" s="11">
        <f t="shared" si="1"/>
        <v>3318750</v>
      </c>
      <c r="H73" s="9">
        <f>INT(IF(AND('Lån Översikt'!$D$7="JA", 'Lån Översikt'!$D$11="JA", 'Lån Översikt'!$D$8="JA"), (G73*(('Lån Översikt'!$C$7/100*'Lån Översikt'!$C$11/100)-'Lån Översikt'!$C$8/100))/12, IF(AND('Lån Översikt'!$D$7="JA", 'Lån Översikt'!$D$11="JA", 'Lån Översikt'!$D$8="NEJ"), (G73*(('Lån Översikt'!$C$7/100*'Lån Översikt'!$C$11/100))/12), 0)))
</f>
        <v>8482</v>
      </c>
      <c r="I73" s="8">
        <f t="shared" si="2"/>
        <v>4712</v>
      </c>
      <c r="J73" s="8">
        <f>IF(AND(P73, O73), 0, IF(O73, INT((('Lån Översikt'!$C$5 * 1 / 100) / 12)), INT((('Lån Översikt'!$C$5 * 'Lån Översikt'!$C$15 / 100) / 12))))
</f>
        <v>6250</v>
      </c>
      <c r="K73" s="8">
        <f t="shared" si="3"/>
        <v>4166</v>
      </c>
      <c r="L73" s="8">
        <f t="shared" si="4"/>
        <v>23610</v>
      </c>
      <c r="M73" s="8">
        <f>(L73 + 'Lån Översikt'!$D$50)</f>
        <v>45559</v>
      </c>
      <c r="N73" s="8">
        <f>IF('Lån Översikt'!$D$22 = "JA", 
    IF(Q73 = TRUE, 'Lån Översikt'!$D$24 - M73, 'Lån Översikt'!$D$24 - M73 + 18300), 
    'Lån Översikt'!$D$24 - M73)
</f>
        <v>4241</v>
      </c>
      <c r="O73" s="25" t="b">
        <f t="shared" si="5"/>
        <v>0</v>
      </c>
      <c r="P73" s="26" t="b">
        <f t="shared" si="6"/>
        <v>0</v>
      </c>
      <c r="Q73" s="27" t="b">
        <f t="shared" si="8"/>
        <v>0</v>
      </c>
    </row>
    <row r="74">
      <c r="F74" s="8">
        <v>71.0</v>
      </c>
      <c r="G74" s="11">
        <f t="shared" si="1"/>
        <v>3312500</v>
      </c>
      <c r="H74" s="9">
        <f>INT(IF(AND('Lån Översikt'!$D$7="JA", 'Lån Översikt'!$D$11="JA", 'Lån Översikt'!$D$8="JA"), (G74*(('Lån Översikt'!$C$7/100*'Lån Översikt'!$C$11/100)-'Lån Översikt'!$C$8/100))/12, IF(AND('Lån Översikt'!$D$7="JA", 'Lån Översikt'!$D$11="JA", 'Lån Översikt'!$D$8="NEJ"), (G74*(('Lån Översikt'!$C$7/100*'Lån Översikt'!$C$11/100))/12), 0)))
</f>
        <v>8466</v>
      </c>
      <c r="I74" s="8">
        <f t="shared" si="2"/>
        <v>4712</v>
      </c>
      <c r="J74" s="8">
        <f>IF(AND(P74, O74), 0, IF(O74, INT((('Lån Översikt'!$C$5 * 1 / 100) / 12)), INT((('Lån Översikt'!$C$5 * 'Lån Översikt'!$C$15 / 100) / 12))))
</f>
        <v>6250</v>
      </c>
      <c r="K74" s="8">
        <f t="shared" si="3"/>
        <v>4166</v>
      </c>
      <c r="L74" s="8">
        <f t="shared" si="4"/>
        <v>23594</v>
      </c>
      <c r="M74" s="8">
        <f>(L74 + 'Lån Översikt'!$D$50)</f>
        <v>45543</v>
      </c>
      <c r="N74" s="8">
        <f>IF('Lån Översikt'!$D$22 = "JA", 
    IF(Q74 = TRUE, 'Lån Översikt'!$D$24 - M74, 'Lån Översikt'!$D$24 - M74 + 18300), 
    'Lån Översikt'!$D$24 - M74)
</f>
        <v>4257</v>
      </c>
      <c r="O74" s="25" t="b">
        <f t="shared" si="5"/>
        <v>0</v>
      </c>
      <c r="P74" s="26" t="b">
        <f t="shared" si="6"/>
        <v>0</v>
      </c>
      <c r="Q74" s="27" t="b">
        <f t="shared" si="8"/>
        <v>0</v>
      </c>
    </row>
    <row r="75">
      <c r="F75" s="8">
        <v>72.0</v>
      </c>
      <c r="G75" s="11">
        <f t="shared" si="1"/>
        <v>3306250</v>
      </c>
      <c r="H75" s="9">
        <f>INT(IF(AND('Lån Översikt'!$D$7="JA", 'Lån Översikt'!$D$11="JA", 'Lån Översikt'!$D$8="JA"), (G75*(('Lån Översikt'!$C$7/100*'Lån Översikt'!$C$11/100)-'Lån Översikt'!$C$8/100))/12, IF(AND('Lån Översikt'!$D$7="JA", 'Lån Översikt'!$D$11="JA", 'Lån Översikt'!$D$8="NEJ"), (G75*(('Lån Översikt'!$C$7/100*'Lån Översikt'!$C$11/100))/12), 0)))
</f>
        <v>8450</v>
      </c>
      <c r="I75" s="8">
        <f t="shared" si="2"/>
        <v>4712</v>
      </c>
      <c r="J75" s="8">
        <f>IF(AND(P75, O75), 0, IF(O75, INT((('Lån Översikt'!$C$5 * 1 / 100) / 12)), INT((('Lån Översikt'!$C$5 * 'Lån Översikt'!$C$15 / 100) / 12))))
</f>
        <v>6250</v>
      </c>
      <c r="K75" s="8">
        <f t="shared" si="3"/>
        <v>4166</v>
      </c>
      <c r="L75" s="8">
        <f t="shared" si="4"/>
        <v>23578</v>
      </c>
      <c r="M75" s="8">
        <f>(L75 + 'Lån Översikt'!$D$50)</f>
        <v>45527</v>
      </c>
      <c r="N75" s="8">
        <f>IF('Lån Översikt'!$D$22 = "JA", 
    IF(Q75 = TRUE, 'Lån Översikt'!$D$24 - M75, 'Lån Översikt'!$D$24 - M75 + 18300), 
    'Lån Översikt'!$D$24 - M75)
</f>
        <v>4273</v>
      </c>
      <c r="O75" s="25" t="b">
        <f t="shared" si="5"/>
        <v>0</v>
      </c>
      <c r="P75" s="26" t="b">
        <f t="shared" si="6"/>
        <v>0</v>
      </c>
      <c r="Q75" s="27" t="b">
        <f t="shared" si="8"/>
        <v>0</v>
      </c>
    </row>
    <row r="76">
      <c r="F76" s="8">
        <v>73.0</v>
      </c>
      <c r="G76" s="11">
        <f t="shared" si="1"/>
        <v>3300000</v>
      </c>
      <c r="H76" s="9">
        <f>INT(IF(AND('Lån Översikt'!$D$7="JA", 'Lån Översikt'!$D$11="JA", 'Lån Översikt'!$D$8="JA"), (G76*(('Lån Översikt'!$C$7/100*'Lån Översikt'!$C$11/100)-'Lån Översikt'!$C$8/100))/12, IF(AND('Lån Översikt'!$D$7="JA", 'Lån Översikt'!$D$11="JA", 'Lån Översikt'!$D$8="NEJ"), (G76*(('Lån Översikt'!$C$7/100*'Lån Översikt'!$C$11/100))/12), 0)))
</f>
        <v>8434</v>
      </c>
      <c r="I76" s="8">
        <f t="shared" si="2"/>
        <v>4712</v>
      </c>
      <c r="J76" s="8">
        <f>IF(AND(P76, O76), 0, IF(O76, INT((('Lån Översikt'!$C$5 * 1 / 100) / 12)), INT((('Lån Översikt'!$C$5 * 'Lån Översikt'!$C$15 / 100) / 12))))
</f>
        <v>6250</v>
      </c>
      <c r="K76" s="8">
        <f t="shared" si="3"/>
        <v>4166</v>
      </c>
      <c r="L76" s="8">
        <f t="shared" si="4"/>
        <v>23562</v>
      </c>
      <c r="M76" s="8">
        <f>(L76 + 'Lån Översikt'!$D$50)</f>
        <v>45511</v>
      </c>
      <c r="N76" s="8">
        <f>IF('Lån Översikt'!$D$22 = "JA", 
    IF(Q76 = TRUE, 'Lån Översikt'!$D$24 - M76, 'Lån Översikt'!$D$24 - M76 + 18300), 
    'Lån Översikt'!$D$24 - M76)
</f>
        <v>4289</v>
      </c>
      <c r="O76" s="25" t="b">
        <f t="shared" si="5"/>
        <v>0</v>
      </c>
      <c r="P76" s="26" t="b">
        <f t="shared" si="6"/>
        <v>0</v>
      </c>
      <c r="Q76" s="27" t="b">
        <f t="shared" si="8"/>
        <v>0</v>
      </c>
    </row>
    <row r="77">
      <c r="F77" s="8">
        <v>74.0</v>
      </c>
      <c r="G77" s="11">
        <f t="shared" si="1"/>
        <v>3293750</v>
      </c>
      <c r="H77" s="9">
        <f>INT(IF(AND('Lån Översikt'!$D$7="JA", 'Lån Översikt'!$D$11="JA", 'Lån Översikt'!$D$8="JA"), (G77*(('Lån Översikt'!$C$7/100*'Lån Översikt'!$C$11/100)-'Lån Översikt'!$C$8/100))/12, IF(AND('Lån Översikt'!$D$7="JA", 'Lån Översikt'!$D$11="JA", 'Lån Översikt'!$D$8="NEJ"), (G77*(('Lån Översikt'!$C$7/100*'Lån Översikt'!$C$11/100))/12), 0)))
</f>
        <v>8418</v>
      </c>
      <c r="I77" s="8">
        <f t="shared" si="2"/>
        <v>4712</v>
      </c>
      <c r="J77" s="8">
        <f>IF(AND(P77, O77), 0, IF(O77, INT((('Lån Översikt'!$C$5 * 1 / 100) / 12)), INT((('Lån Översikt'!$C$5 * 'Lån Översikt'!$C$15 / 100) / 12))))
</f>
        <v>6250</v>
      </c>
      <c r="K77" s="8">
        <f t="shared" si="3"/>
        <v>4166</v>
      </c>
      <c r="L77" s="8">
        <f t="shared" si="4"/>
        <v>23546</v>
      </c>
      <c r="M77" s="8">
        <f>(L77 + 'Lån Översikt'!$D$50)</f>
        <v>45495</v>
      </c>
      <c r="N77" s="8">
        <f>IF('Lån Översikt'!$D$22 = "JA", 
    IF(Q77 = TRUE, 'Lån Översikt'!$D$24 - M77, 'Lån Översikt'!$D$24 - M77 + 18300), 
    'Lån Översikt'!$D$24 - M77)
</f>
        <v>4305</v>
      </c>
      <c r="O77" s="25" t="b">
        <f t="shared" si="5"/>
        <v>0</v>
      </c>
      <c r="P77" s="26" t="b">
        <f t="shared" si="6"/>
        <v>0</v>
      </c>
      <c r="Q77" s="27" t="b">
        <f t="shared" si="8"/>
        <v>0</v>
      </c>
    </row>
    <row r="78">
      <c r="F78" s="8">
        <v>75.0</v>
      </c>
      <c r="G78" s="11">
        <f t="shared" si="1"/>
        <v>3287500</v>
      </c>
      <c r="H78" s="9">
        <f>INT(IF(AND('Lån Översikt'!$D$7="JA", 'Lån Översikt'!$D$11="JA", 'Lån Översikt'!$D$8="JA"), (G78*(('Lån Översikt'!$C$7/100*'Lån Översikt'!$C$11/100)-'Lån Översikt'!$C$8/100))/12, IF(AND('Lån Översikt'!$D$7="JA", 'Lån Översikt'!$D$11="JA", 'Lån Översikt'!$D$8="NEJ"), (G78*(('Lån Översikt'!$C$7/100*'Lån Översikt'!$C$11/100))/12), 0)))
</f>
        <v>8402</v>
      </c>
      <c r="I78" s="8">
        <f t="shared" si="2"/>
        <v>4712</v>
      </c>
      <c r="J78" s="8">
        <f>IF(AND(P78, O78), 0, IF(O78, INT((('Lån Översikt'!$C$5 * 1 / 100) / 12)), INT((('Lån Översikt'!$C$5 * 'Lån Översikt'!$C$15 / 100) / 12))))
</f>
        <v>6250</v>
      </c>
      <c r="K78" s="8">
        <f t="shared" si="3"/>
        <v>4166</v>
      </c>
      <c r="L78" s="8">
        <f t="shared" si="4"/>
        <v>23530</v>
      </c>
      <c r="M78" s="8">
        <f>(L78 + 'Lån Översikt'!$D$50)</f>
        <v>45479</v>
      </c>
      <c r="N78" s="8">
        <f>IF('Lån Översikt'!$D$22 = "JA", 
    IF(Q78 = TRUE, 'Lån Översikt'!$D$24 - M78, 'Lån Översikt'!$D$24 - M78 + 18300), 
    'Lån Översikt'!$D$24 - M78)
</f>
        <v>4321</v>
      </c>
      <c r="O78" s="25" t="b">
        <f t="shared" si="5"/>
        <v>0</v>
      </c>
      <c r="P78" s="26" t="b">
        <f t="shared" si="6"/>
        <v>0</v>
      </c>
      <c r="Q78" s="27" t="b">
        <f t="shared" si="8"/>
        <v>0</v>
      </c>
    </row>
    <row r="79">
      <c r="F79" s="8">
        <v>76.0</v>
      </c>
      <c r="G79" s="11">
        <f t="shared" si="1"/>
        <v>3281250</v>
      </c>
      <c r="H79" s="9">
        <f>INT(IF(AND('Lån Översikt'!$D$7="JA", 'Lån Översikt'!$D$11="JA", 'Lån Översikt'!$D$8="JA"), (G79*(('Lån Översikt'!$C$7/100*'Lån Översikt'!$C$11/100)-'Lån Översikt'!$C$8/100))/12, IF(AND('Lån Översikt'!$D$7="JA", 'Lån Översikt'!$D$11="JA", 'Lån Översikt'!$D$8="NEJ"), (G79*(('Lån Översikt'!$C$7/100*'Lån Översikt'!$C$11/100))/12), 0)))
</f>
        <v>8386</v>
      </c>
      <c r="I79" s="8">
        <f t="shared" si="2"/>
        <v>4712</v>
      </c>
      <c r="J79" s="8">
        <f>IF(AND(P79, O79), 0, IF(O79, INT((('Lån Översikt'!$C$5 * 1 / 100) / 12)), INT((('Lån Översikt'!$C$5 * 'Lån Översikt'!$C$15 / 100) / 12))))
</f>
        <v>6250</v>
      </c>
      <c r="K79" s="8">
        <f t="shared" si="3"/>
        <v>4166</v>
      </c>
      <c r="L79" s="8">
        <f t="shared" si="4"/>
        <v>23514</v>
      </c>
      <c r="M79" s="8">
        <f>(L79 + 'Lån Översikt'!$D$50)</f>
        <v>45463</v>
      </c>
      <c r="N79" s="8">
        <f>IF('Lån Översikt'!$D$22 = "JA", 
    IF(Q79 = TRUE, 'Lån Översikt'!$D$24 - M79, 'Lån Översikt'!$D$24 - M79 + 18300), 
    'Lån Översikt'!$D$24 - M79)
</f>
        <v>4337</v>
      </c>
      <c r="O79" s="25" t="b">
        <f t="shared" si="5"/>
        <v>0</v>
      </c>
      <c r="P79" s="26" t="b">
        <f t="shared" si="6"/>
        <v>0</v>
      </c>
      <c r="Q79" s="27" t="b">
        <f t="shared" si="8"/>
        <v>0</v>
      </c>
    </row>
    <row r="80">
      <c r="F80" s="8">
        <v>77.0</v>
      </c>
      <c r="G80" s="11">
        <f t="shared" si="1"/>
        <v>3275000</v>
      </c>
      <c r="H80" s="9">
        <f>INT(IF(AND('Lån Översikt'!$D$7="JA", 'Lån Översikt'!$D$11="JA", 'Lån Översikt'!$D$8="JA"), (G80*(('Lån Översikt'!$C$7/100*'Lån Översikt'!$C$11/100)-'Lån Översikt'!$C$8/100))/12, IF(AND('Lån Översikt'!$D$7="JA", 'Lån Översikt'!$D$11="JA", 'Lån Översikt'!$D$8="NEJ"), (G80*(('Lån Översikt'!$C$7/100*'Lån Översikt'!$C$11/100))/12), 0)))
</f>
        <v>8370</v>
      </c>
      <c r="I80" s="8">
        <f t="shared" si="2"/>
        <v>4712</v>
      </c>
      <c r="J80" s="8">
        <f>IF(AND(P80, O80), 0, IF(O80, INT((('Lån Översikt'!$C$5 * 1 / 100) / 12)), INT((('Lån Översikt'!$C$5 * 'Lån Översikt'!$C$15 / 100) / 12))))
</f>
        <v>6250</v>
      </c>
      <c r="K80" s="8">
        <f t="shared" si="3"/>
        <v>4166</v>
      </c>
      <c r="L80" s="8">
        <f t="shared" si="4"/>
        <v>23498</v>
      </c>
      <c r="M80" s="8">
        <f>(L80 + 'Lån Översikt'!$D$50)</f>
        <v>45447</v>
      </c>
      <c r="N80" s="8">
        <f>IF('Lån Översikt'!$D$22 = "JA", 
    IF(Q80 = TRUE, 'Lån Översikt'!$D$24 - M80, 'Lån Översikt'!$D$24 - M80 + 18300), 
    'Lån Översikt'!$D$24 - M80)
</f>
        <v>4353</v>
      </c>
      <c r="O80" s="25" t="b">
        <f t="shared" si="5"/>
        <v>0</v>
      </c>
      <c r="P80" s="26" t="b">
        <f t="shared" si="6"/>
        <v>0</v>
      </c>
      <c r="Q80" s="27" t="b">
        <f t="shared" si="8"/>
        <v>0</v>
      </c>
    </row>
    <row r="81">
      <c r="F81" s="8">
        <v>78.0</v>
      </c>
      <c r="G81" s="11">
        <f t="shared" si="1"/>
        <v>3268750</v>
      </c>
      <c r="H81" s="9">
        <f>INT(IF(AND('Lån Översikt'!$D$7="JA", 'Lån Översikt'!$D$11="JA", 'Lån Översikt'!$D$8="JA"), (G81*(('Lån Översikt'!$C$7/100*'Lån Översikt'!$C$11/100)-'Lån Översikt'!$C$8/100))/12, IF(AND('Lån Översikt'!$D$7="JA", 'Lån Översikt'!$D$11="JA", 'Lån Översikt'!$D$8="NEJ"), (G81*(('Lån Översikt'!$C$7/100*'Lån Översikt'!$C$11/100))/12), 0)))
</f>
        <v>8354</v>
      </c>
      <c r="I81" s="8">
        <f t="shared" si="2"/>
        <v>4712</v>
      </c>
      <c r="J81" s="8">
        <f>IF(AND(P81, O81), 0, IF(O81, INT((('Lån Översikt'!$C$5 * 1 / 100) / 12)), INT((('Lån Översikt'!$C$5 * 'Lån Översikt'!$C$15 / 100) / 12))))
</f>
        <v>6250</v>
      </c>
      <c r="K81" s="8">
        <f t="shared" si="3"/>
        <v>4166</v>
      </c>
      <c r="L81" s="8">
        <f t="shared" si="4"/>
        <v>23482</v>
      </c>
      <c r="M81" s="8">
        <f>(L81 + 'Lån Översikt'!$D$50)</f>
        <v>45431</v>
      </c>
      <c r="N81" s="8">
        <f>IF('Lån Översikt'!$D$22 = "JA", 
    IF(Q81 = TRUE, 'Lån Översikt'!$D$24 - M81, 'Lån Översikt'!$D$24 - M81 + 18300), 
    'Lån Översikt'!$D$24 - M81)
</f>
        <v>4369</v>
      </c>
      <c r="O81" s="25" t="b">
        <f t="shared" si="5"/>
        <v>0</v>
      </c>
      <c r="P81" s="26" t="b">
        <f t="shared" si="6"/>
        <v>0</v>
      </c>
      <c r="Q81" s="27" t="b">
        <f t="shared" si="8"/>
        <v>0</v>
      </c>
    </row>
    <row r="82">
      <c r="F82" s="8">
        <v>79.0</v>
      </c>
      <c r="G82" s="11">
        <f t="shared" si="1"/>
        <v>3262500</v>
      </c>
      <c r="H82" s="9">
        <f>INT(IF(AND('Lån Översikt'!$D$7="JA", 'Lån Översikt'!$D$11="JA", 'Lån Översikt'!$D$8="JA"), (G82*(('Lån Översikt'!$C$7/100*'Lån Översikt'!$C$11/100)-'Lån Översikt'!$C$8/100))/12, IF(AND('Lån Översikt'!$D$7="JA", 'Lån Översikt'!$D$11="JA", 'Lån Översikt'!$D$8="NEJ"), (G82*(('Lån Översikt'!$C$7/100*'Lån Översikt'!$C$11/100))/12), 0)))
</f>
        <v>8338</v>
      </c>
      <c r="I82" s="8">
        <f t="shared" si="2"/>
        <v>4712</v>
      </c>
      <c r="J82" s="8">
        <f>IF(AND(P82, O82), 0, IF(O82, INT((('Lån Översikt'!$C$5 * 1 / 100) / 12)), INT((('Lån Översikt'!$C$5 * 'Lån Översikt'!$C$15 / 100) / 12))))
</f>
        <v>6250</v>
      </c>
      <c r="K82" s="8">
        <f t="shared" si="3"/>
        <v>4166</v>
      </c>
      <c r="L82" s="8">
        <f t="shared" si="4"/>
        <v>23466</v>
      </c>
      <c r="M82" s="8">
        <f>(L82 + 'Lån Översikt'!$D$50)</f>
        <v>45415</v>
      </c>
      <c r="N82" s="8">
        <f>IF('Lån Översikt'!$D$22 = "JA", 
    IF(Q82 = TRUE, 'Lån Översikt'!$D$24 - M82, 'Lån Översikt'!$D$24 - M82 + 18300), 
    'Lån Översikt'!$D$24 - M82)
</f>
        <v>4385</v>
      </c>
      <c r="O82" s="25" t="b">
        <f t="shared" si="5"/>
        <v>0</v>
      </c>
      <c r="P82" s="26" t="b">
        <f t="shared" si="6"/>
        <v>0</v>
      </c>
      <c r="Q82" s="27" t="b">
        <f t="shared" si="8"/>
        <v>0</v>
      </c>
    </row>
    <row r="83">
      <c r="F83" s="8">
        <v>80.0</v>
      </c>
      <c r="G83" s="11">
        <f t="shared" si="1"/>
        <v>3256250</v>
      </c>
      <c r="H83" s="9">
        <f>INT(IF(AND('Lån Översikt'!$D$7="JA", 'Lån Översikt'!$D$11="JA", 'Lån Översikt'!$D$8="JA"), (G83*(('Lån Översikt'!$C$7/100*'Lån Översikt'!$C$11/100)-'Lån Översikt'!$C$8/100))/12, IF(AND('Lån Översikt'!$D$7="JA", 'Lån Översikt'!$D$11="JA", 'Lån Översikt'!$D$8="NEJ"), (G83*(('Lån Översikt'!$C$7/100*'Lån Översikt'!$C$11/100))/12), 0)))
</f>
        <v>8322</v>
      </c>
      <c r="I83" s="8">
        <f t="shared" si="2"/>
        <v>4712</v>
      </c>
      <c r="J83" s="8">
        <f>IF(AND(P83, O83), 0, IF(O83, INT((('Lån Översikt'!$C$5 * 1 / 100) / 12)), INT((('Lån Översikt'!$C$5 * 'Lån Översikt'!$C$15 / 100) / 12))))
</f>
        <v>6250</v>
      </c>
      <c r="K83" s="8">
        <f t="shared" si="3"/>
        <v>4166</v>
      </c>
      <c r="L83" s="8">
        <f t="shared" si="4"/>
        <v>23450</v>
      </c>
      <c r="M83" s="8">
        <f>(L83 + 'Lån Översikt'!$D$50)</f>
        <v>45399</v>
      </c>
      <c r="N83" s="8">
        <f>IF('Lån Översikt'!$D$22 = "JA", 
    IF(Q83 = TRUE, 'Lån Översikt'!$D$24 - M83, 'Lån Översikt'!$D$24 - M83 + 18300), 
    'Lån Översikt'!$D$24 - M83)
</f>
        <v>4401</v>
      </c>
      <c r="O83" s="25" t="b">
        <f t="shared" si="5"/>
        <v>0</v>
      </c>
      <c r="P83" s="26" t="b">
        <f t="shared" si="6"/>
        <v>0</v>
      </c>
      <c r="Q83" s="27" t="b">
        <f t="shared" si="8"/>
        <v>0</v>
      </c>
    </row>
    <row r="84">
      <c r="F84" s="8">
        <v>81.0</v>
      </c>
      <c r="G84" s="11">
        <f t="shared" si="1"/>
        <v>3250000</v>
      </c>
      <c r="H84" s="9">
        <f>INT(IF(AND('Lån Översikt'!$D$7="JA", 'Lån Översikt'!$D$11="JA", 'Lån Översikt'!$D$8="JA"), (G84*(('Lån Översikt'!$C$7/100*'Lån Översikt'!$C$11/100)-'Lån Översikt'!$C$8/100))/12, IF(AND('Lån Översikt'!$D$7="JA", 'Lån Översikt'!$D$11="JA", 'Lån Översikt'!$D$8="NEJ"), (G84*(('Lån Översikt'!$C$7/100*'Lån Översikt'!$C$11/100))/12), 0)))
</f>
        <v>8306</v>
      </c>
      <c r="I84" s="8">
        <f t="shared" si="2"/>
        <v>4712</v>
      </c>
      <c r="J84" s="8">
        <f>IF(AND(P84, O84), 0, IF(O84, INT((('Lån Översikt'!$C$5 * 1 / 100) / 12)), INT((('Lån Översikt'!$C$5 * 'Lån Översikt'!$C$15 / 100) / 12))))
</f>
        <v>6250</v>
      </c>
      <c r="K84" s="8">
        <f t="shared" si="3"/>
        <v>4166</v>
      </c>
      <c r="L84" s="8">
        <f t="shared" si="4"/>
        <v>23434</v>
      </c>
      <c r="M84" s="8">
        <f>(L84 + 'Lån Översikt'!$D$50)</f>
        <v>45383</v>
      </c>
      <c r="N84" s="8">
        <f>IF('Lån Översikt'!$D$22 = "JA", 
    IF(Q84 = TRUE, 'Lån Översikt'!$D$24 - M84, 'Lån Översikt'!$D$24 - M84 + 18300), 
    'Lån Översikt'!$D$24 - M84)
</f>
        <v>4417</v>
      </c>
      <c r="O84" s="25" t="b">
        <f t="shared" si="5"/>
        <v>0</v>
      </c>
      <c r="P84" s="26" t="b">
        <f t="shared" si="6"/>
        <v>0</v>
      </c>
      <c r="Q84" s="27" t="b">
        <f t="shared" si="8"/>
        <v>0</v>
      </c>
    </row>
    <row r="85">
      <c r="F85" s="8">
        <v>82.0</v>
      </c>
      <c r="G85" s="11">
        <f t="shared" si="1"/>
        <v>3243750</v>
      </c>
      <c r="H85" s="9">
        <f>INT(IF(AND('Lån Översikt'!$D$7="JA", 'Lån Översikt'!$D$11="JA", 'Lån Översikt'!$D$8="JA"), (G85*(('Lån Översikt'!$C$7/100*'Lån Översikt'!$C$11/100)-'Lån Översikt'!$C$8/100))/12, IF(AND('Lån Översikt'!$D$7="JA", 'Lån Översikt'!$D$11="JA", 'Lån Översikt'!$D$8="NEJ"), (G85*(('Lån Översikt'!$C$7/100*'Lån Översikt'!$C$11/100))/12), 0)))
</f>
        <v>8290</v>
      </c>
      <c r="I85" s="8">
        <f t="shared" si="2"/>
        <v>4712</v>
      </c>
      <c r="J85" s="8">
        <f>IF(AND(P85, O85), 0, IF(O85, INT((('Lån Översikt'!$C$5 * 1 / 100) / 12)), INT((('Lån Översikt'!$C$5 * 'Lån Översikt'!$C$15 / 100) / 12))))
</f>
        <v>6250</v>
      </c>
      <c r="K85" s="8">
        <f t="shared" si="3"/>
        <v>4166</v>
      </c>
      <c r="L85" s="8">
        <f t="shared" si="4"/>
        <v>23418</v>
      </c>
      <c r="M85" s="8">
        <f>(L85 + 'Lån Översikt'!$D$50)</f>
        <v>45367</v>
      </c>
      <c r="N85" s="8">
        <f>IF('Lån Översikt'!$D$22 = "JA", 
    IF(Q85 = TRUE, 'Lån Översikt'!$D$24 - M85, 'Lån Översikt'!$D$24 - M85 + 18300), 
    'Lån Översikt'!$D$24 - M85)
</f>
        <v>4433</v>
      </c>
      <c r="O85" s="25" t="b">
        <f t="shared" si="5"/>
        <v>0</v>
      </c>
      <c r="P85" s="26" t="b">
        <f t="shared" si="6"/>
        <v>0</v>
      </c>
      <c r="Q85" s="27" t="b">
        <f t="shared" si="8"/>
        <v>0</v>
      </c>
    </row>
    <row r="86">
      <c r="F86" s="8">
        <v>83.0</v>
      </c>
      <c r="G86" s="11">
        <f t="shared" si="1"/>
        <v>3237500</v>
      </c>
      <c r="H86" s="9">
        <f>INT(IF(AND('Lån Översikt'!$D$7="JA", 'Lån Översikt'!$D$11="JA", 'Lån Översikt'!$D$8="JA"), (G86*(('Lån Översikt'!$C$7/100*'Lån Översikt'!$C$11/100)-'Lån Översikt'!$C$8/100))/12, IF(AND('Lån Översikt'!$D$7="JA", 'Lån Översikt'!$D$11="JA", 'Lån Översikt'!$D$8="NEJ"), (G86*(('Lån Översikt'!$C$7/100*'Lån Översikt'!$C$11/100))/12), 0)))
</f>
        <v>8274</v>
      </c>
      <c r="I86" s="8">
        <f t="shared" si="2"/>
        <v>4712</v>
      </c>
      <c r="J86" s="8">
        <f>IF(AND(P86, O86), 0, IF(O86, INT((('Lån Översikt'!$C$5 * 1 / 100) / 12)), INT((('Lån Översikt'!$C$5 * 'Lån Översikt'!$C$15 / 100) / 12))))
</f>
        <v>6250</v>
      </c>
      <c r="K86" s="8">
        <f t="shared" si="3"/>
        <v>4166</v>
      </c>
      <c r="L86" s="8">
        <f t="shared" si="4"/>
        <v>23402</v>
      </c>
      <c r="M86" s="8">
        <f>(L86 + 'Lån Översikt'!$D$50)</f>
        <v>45351</v>
      </c>
      <c r="N86" s="8">
        <f>IF('Lån Översikt'!$D$22 = "JA", 
    IF(Q86 = TRUE, 'Lån Översikt'!$D$24 - M86, 'Lån Översikt'!$D$24 - M86 + 18300), 
    'Lån Översikt'!$D$24 - M86)
</f>
        <v>4449</v>
      </c>
      <c r="O86" s="25" t="b">
        <f t="shared" si="5"/>
        <v>0</v>
      </c>
      <c r="P86" s="26" t="b">
        <f t="shared" si="6"/>
        <v>0</v>
      </c>
      <c r="Q86" s="27" t="b">
        <f t="shared" si="8"/>
        <v>0</v>
      </c>
    </row>
    <row r="87">
      <c r="F87" s="8">
        <v>84.0</v>
      </c>
      <c r="G87" s="11">
        <f t="shared" si="1"/>
        <v>3231250</v>
      </c>
      <c r="H87" s="9">
        <f>INT(IF(AND('Lån Översikt'!$D$7="JA", 'Lån Översikt'!$D$11="JA", 'Lån Översikt'!$D$8="JA"), (G87*(('Lån Översikt'!$C$7/100*'Lån Översikt'!$C$11/100)-'Lån Översikt'!$C$8/100))/12, IF(AND('Lån Översikt'!$D$7="JA", 'Lån Översikt'!$D$11="JA", 'Lån Översikt'!$D$8="NEJ"), (G87*(('Lån Översikt'!$C$7/100*'Lån Översikt'!$C$11/100))/12), 0)))
</f>
        <v>8258</v>
      </c>
      <c r="I87" s="8">
        <f t="shared" si="2"/>
        <v>4712</v>
      </c>
      <c r="J87" s="8">
        <f>IF(AND(P87, O87), 0, IF(O87, INT((('Lån Översikt'!$C$5 * 1 / 100) / 12)), INT((('Lån Översikt'!$C$5 * 'Lån Översikt'!$C$15 / 100) / 12))))
</f>
        <v>6250</v>
      </c>
      <c r="K87" s="8">
        <f t="shared" si="3"/>
        <v>4166</v>
      </c>
      <c r="L87" s="8">
        <f t="shared" si="4"/>
        <v>23386</v>
      </c>
      <c r="M87" s="8">
        <f>(L87 + 'Lån Översikt'!$D$50)</f>
        <v>45335</v>
      </c>
      <c r="N87" s="8">
        <f>IF('Lån Översikt'!$D$22 = "JA", 
    IF(Q87 = TRUE, 'Lån Översikt'!$D$24 - M87, 'Lån Översikt'!$D$24 - M87 + 18300), 
    'Lån Översikt'!$D$24 - M87)
</f>
        <v>4465</v>
      </c>
      <c r="O87" s="25" t="b">
        <f t="shared" si="5"/>
        <v>0</v>
      </c>
      <c r="P87" s="26" t="b">
        <f t="shared" si="6"/>
        <v>0</v>
      </c>
      <c r="Q87" s="27" t="b">
        <f t="shared" si="8"/>
        <v>0</v>
      </c>
    </row>
    <row r="88">
      <c r="F88" s="8">
        <v>85.0</v>
      </c>
      <c r="G88" s="11">
        <f t="shared" si="1"/>
        <v>3225000</v>
      </c>
      <c r="H88" s="9">
        <f>INT(IF(AND('Lån Översikt'!$D$7="JA", 'Lån Översikt'!$D$11="JA", 'Lån Översikt'!$D$8="JA"), (G88*(('Lån Översikt'!$C$7/100*'Lån Översikt'!$C$11/100)-'Lån Översikt'!$C$8/100))/12, IF(AND('Lån Översikt'!$D$7="JA", 'Lån Översikt'!$D$11="JA", 'Lån Översikt'!$D$8="NEJ"), (G88*(('Lån Översikt'!$C$7/100*'Lån Översikt'!$C$11/100))/12), 0)))
</f>
        <v>8242</v>
      </c>
      <c r="I88" s="8">
        <f t="shared" si="2"/>
        <v>4712</v>
      </c>
      <c r="J88" s="8">
        <f>IF(AND(P88, O88), 0, IF(O88, INT((('Lån Översikt'!$C$5 * 1 / 100) / 12)), INT((('Lån Översikt'!$C$5 * 'Lån Översikt'!$C$15 / 100) / 12))))
</f>
        <v>6250</v>
      </c>
      <c r="K88" s="8">
        <f t="shared" si="3"/>
        <v>4166</v>
      </c>
      <c r="L88" s="8">
        <f t="shared" si="4"/>
        <v>23370</v>
      </c>
      <c r="M88" s="8">
        <f>(L88 + 'Lån Översikt'!$D$50)</f>
        <v>45319</v>
      </c>
      <c r="N88" s="8">
        <f>IF('Lån Översikt'!$D$22 = "JA", 
    IF(Q88 = TRUE, 'Lån Översikt'!$D$24 - M88, 'Lån Översikt'!$D$24 - M88 + 18300), 
    'Lån Översikt'!$D$24 - M88)
</f>
        <v>4481</v>
      </c>
      <c r="O88" s="25" t="b">
        <f t="shared" si="5"/>
        <v>0</v>
      </c>
      <c r="P88" s="26" t="b">
        <f t="shared" si="6"/>
        <v>0</v>
      </c>
      <c r="Q88" s="27" t="b">
        <f t="shared" si="8"/>
        <v>0</v>
      </c>
    </row>
    <row r="89">
      <c r="F89" s="8">
        <v>86.0</v>
      </c>
      <c r="G89" s="11">
        <f t="shared" si="1"/>
        <v>3218750</v>
      </c>
      <c r="H89" s="9">
        <f>INT(IF(AND('Lån Översikt'!$D$7="JA", 'Lån Översikt'!$D$11="JA", 'Lån Översikt'!$D$8="JA"), (G89*(('Lån Översikt'!$C$7/100*'Lån Översikt'!$C$11/100)-'Lån Översikt'!$C$8/100))/12, IF(AND('Lån Översikt'!$D$7="JA", 'Lån Översikt'!$D$11="JA", 'Lån Översikt'!$D$8="NEJ"), (G89*(('Lån Översikt'!$C$7/100*'Lån Översikt'!$C$11/100))/12), 0)))
</f>
        <v>8226</v>
      </c>
      <c r="I89" s="8">
        <f t="shared" si="2"/>
        <v>4712</v>
      </c>
      <c r="J89" s="8">
        <f>IF(AND(P89, O89), 0, IF(O89, INT((('Lån Översikt'!$C$5 * 1 / 100) / 12)), INT((('Lån Översikt'!$C$5 * 'Lån Översikt'!$C$15 / 100) / 12))))
</f>
        <v>6250</v>
      </c>
      <c r="K89" s="8">
        <f t="shared" si="3"/>
        <v>4166</v>
      </c>
      <c r="L89" s="8">
        <f t="shared" si="4"/>
        <v>23354</v>
      </c>
      <c r="M89" s="8">
        <f>(L89 + 'Lån Översikt'!$D$50)</f>
        <v>45303</v>
      </c>
      <c r="N89" s="8">
        <f>IF('Lån Översikt'!$D$22 = "JA", 
    IF(Q89 = TRUE, 'Lån Översikt'!$D$24 - M89, 'Lån Översikt'!$D$24 - M89 + 18300), 
    'Lån Översikt'!$D$24 - M89)
</f>
        <v>4497</v>
      </c>
      <c r="O89" s="25" t="b">
        <f t="shared" si="5"/>
        <v>0</v>
      </c>
      <c r="P89" s="26" t="b">
        <f t="shared" si="6"/>
        <v>0</v>
      </c>
      <c r="Q89" s="27" t="b">
        <f t="shared" si="8"/>
        <v>0</v>
      </c>
    </row>
    <row r="90">
      <c r="F90" s="8">
        <v>87.0</v>
      </c>
      <c r="G90" s="11">
        <f t="shared" si="1"/>
        <v>3212500</v>
      </c>
      <c r="H90" s="9">
        <f>INT(IF(AND('Lån Översikt'!$D$7="JA", 'Lån Översikt'!$D$11="JA", 'Lån Översikt'!$D$8="JA"), (G90*(('Lån Översikt'!$C$7/100*'Lån Översikt'!$C$11/100)-'Lån Översikt'!$C$8/100))/12, IF(AND('Lån Översikt'!$D$7="JA", 'Lån Översikt'!$D$11="JA", 'Lån Översikt'!$D$8="NEJ"), (G90*(('Lån Översikt'!$C$7/100*'Lån Översikt'!$C$11/100))/12), 0)))
</f>
        <v>8210</v>
      </c>
      <c r="I90" s="8">
        <f t="shared" si="2"/>
        <v>4712</v>
      </c>
      <c r="J90" s="8">
        <f>IF(AND(P90, O90), 0, IF(O90, INT((('Lån Översikt'!$C$5 * 1 / 100) / 12)), INT((('Lån Översikt'!$C$5 * 'Lån Översikt'!$C$15 / 100) / 12))))
</f>
        <v>6250</v>
      </c>
      <c r="K90" s="8">
        <f t="shared" si="3"/>
        <v>4166</v>
      </c>
      <c r="L90" s="8">
        <f t="shared" si="4"/>
        <v>23338</v>
      </c>
      <c r="M90" s="8">
        <f>(L90 + 'Lån Översikt'!$D$50)</f>
        <v>45287</v>
      </c>
      <c r="N90" s="8">
        <f>IF('Lån Översikt'!$D$22 = "JA", 
    IF(Q90 = TRUE, 'Lån Översikt'!$D$24 - M90, 'Lån Översikt'!$D$24 - M90 + 18300), 
    'Lån Översikt'!$D$24 - M90)
</f>
        <v>4513</v>
      </c>
      <c r="O90" s="25" t="b">
        <f t="shared" si="5"/>
        <v>0</v>
      </c>
      <c r="P90" s="26" t="b">
        <f t="shared" si="6"/>
        <v>0</v>
      </c>
      <c r="Q90" s="27" t="b">
        <f t="shared" si="8"/>
        <v>0</v>
      </c>
    </row>
    <row r="91">
      <c r="F91" s="8">
        <v>88.0</v>
      </c>
      <c r="G91" s="11">
        <f t="shared" si="1"/>
        <v>3206250</v>
      </c>
      <c r="H91" s="9">
        <f>INT(IF(AND('Lån Översikt'!$D$7="JA", 'Lån Översikt'!$D$11="JA", 'Lån Översikt'!$D$8="JA"), (G91*(('Lån Översikt'!$C$7/100*'Lån Översikt'!$C$11/100)-'Lån Översikt'!$C$8/100))/12, IF(AND('Lån Översikt'!$D$7="JA", 'Lån Översikt'!$D$11="JA", 'Lån Översikt'!$D$8="NEJ"), (G91*(('Lån Översikt'!$C$7/100*'Lån Översikt'!$C$11/100))/12), 0)))
</f>
        <v>8194</v>
      </c>
      <c r="I91" s="8">
        <f t="shared" si="2"/>
        <v>4712</v>
      </c>
      <c r="J91" s="8">
        <f>IF(AND(P91, O91), 0, IF(O91, INT((('Lån Översikt'!$C$5 * 1 / 100) / 12)), INT((('Lån Översikt'!$C$5 * 'Lån Översikt'!$C$15 / 100) / 12))))
</f>
        <v>6250</v>
      </c>
      <c r="K91" s="8">
        <f t="shared" si="3"/>
        <v>4166</v>
      </c>
      <c r="L91" s="8">
        <f t="shared" si="4"/>
        <v>23322</v>
      </c>
      <c r="M91" s="8">
        <f>(L91 + 'Lån Översikt'!$D$50)</f>
        <v>45271</v>
      </c>
      <c r="N91" s="8">
        <f>IF('Lån Översikt'!$D$22 = "JA", 
    IF(Q91 = TRUE, 'Lån Översikt'!$D$24 - M91, 'Lån Översikt'!$D$24 - M91 + 18300), 
    'Lån Översikt'!$D$24 - M91)
</f>
        <v>4529</v>
      </c>
      <c r="O91" s="25" t="b">
        <f t="shared" si="5"/>
        <v>0</v>
      </c>
      <c r="P91" s="26" t="b">
        <f t="shared" si="6"/>
        <v>0</v>
      </c>
      <c r="Q91" s="27" t="b">
        <f t="shared" si="8"/>
        <v>0</v>
      </c>
    </row>
    <row r="92">
      <c r="F92" s="8">
        <v>89.0</v>
      </c>
      <c r="G92" s="11">
        <f t="shared" si="1"/>
        <v>3200000</v>
      </c>
      <c r="H92" s="9">
        <f>INT(IF(AND('Lån Översikt'!$D$7="JA", 'Lån Översikt'!$D$11="JA", 'Lån Översikt'!$D$8="JA"), (G92*(('Lån Översikt'!$C$7/100*'Lån Översikt'!$C$11/100)-'Lån Översikt'!$C$8/100))/12, IF(AND('Lån Översikt'!$D$7="JA", 'Lån Översikt'!$D$11="JA", 'Lån Översikt'!$D$8="NEJ"), (G92*(('Lån Översikt'!$C$7/100*'Lån Översikt'!$C$11/100))/12), 0)))
</f>
        <v>8178</v>
      </c>
      <c r="I92" s="8">
        <f t="shared" si="2"/>
        <v>4712</v>
      </c>
      <c r="J92" s="8">
        <f>IF(AND(P92, O92), 0, IF(O92, INT((('Lån Översikt'!$C$5 * 1 / 100) / 12)), INT((('Lån Översikt'!$C$5 * 'Lån Översikt'!$C$15 / 100) / 12))))
</f>
        <v>6250</v>
      </c>
      <c r="K92" s="8">
        <f t="shared" si="3"/>
        <v>4166</v>
      </c>
      <c r="L92" s="8">
        <f t="shared" si="4"/>
        <v>23306</v>
      </c>
      <c r="M92" s="8">
        <f>(L92 + 'Lån Översikt'!$D$50)</f>
        <v>45255</v>
      </c>
      <c r="N92" s="8">
        <f>IF('Lån Översikt'!$D$22 = "JA", 
    IF(Q92 = TRUE, 'Lån Översikt'!$D$24 - M92, 'Lån Översikt'!$D$24 - M92 + 18300), 
    'Lån Översikt'!$D$24 - M92)
</f>
        <v>4545</v>
      </c>
      <c r="O92" s="25" t="b">
        <f t="shared" si="5"/>
        <v>0</v>
      </c>
      <c r="P92" s="26" t="b">
        <f t="shared" si="6"/>
        <v>0</v>
      </c>
      <c r="Q92" s="27" t="b">
        <f t="shared" si="8"/>
        <v>0</v>
      </c>
    </row>
    <row r="93">
      <c r="F93" s="8">
        <v>90.0</v>
      </c>
      <c r="G93" s="11">
        <f t="shared" si="1"/>
        <v>3193750</v>
      </c>
      <c r="H93" s="9">
        <f>INT(IF(AND('Lån Översikt'!$D$7="JA", 'Lån Översikt'!$D$11="JA", 'Lån Översikt'!$D$8="JA"), (G93*(('Lån Översikt'!$C$7/100*'Lån Översikt'!$C$11/100)-'Lån Översikt'!$C$8/100))/12, IF(AND('Lån Översikt'!$D$7="JA", 'Lån Översikt'!$D$11="JA", 'Lån Översikt'!$D$8="NEJ"), (G93*(('Lån Översikt'!$C$7/100*'Lån Översikt'!$C$11/100))/12), 0)))
</f>
        <v>8162</v>
      </c>
      <c r="I93" s="8">
        <f t="shared" si="2"/>
        <v>4712</v>
      </c>
      <c r="J93" s="8">
        <f>IF(AND(P93, O93), 0, IF(O93, INT((('Lån Översikt'!$C$5 * 1 / 100) / 12)), INT((('Lån Översikt'!$C$5 * 'Lån Översikt'!$C$15 / 100) / 12))))
</f>
        <v>6250</v>
      </c>
      <c r="K93" s="8">
        <f t="shared" si="3"/>
        <v>4166</v>
      </c>
      <c r="L93" s="8">
        <f t="shared" si="4"/>
        <v>23290</v>
      </c>
      <c r="M93" s="8">
        <f>(L93 + 'Lån Översikt'!$D$50)</f>
        <v>45239</v>
      </c>
      <c r="N93" s="8">
        <f>IF('Lån Översikt'!$D$22 = "JA", 
    IF(Q93 = TRUE, 'Lån Översikt'!$D$24 - M93, 'Lån Översikt'!$D$24 - M93 + 18300), 
    'Lån Översikt'!$D$24 - M93)
</f>
        <v>4561</v>
      </c>
      <c r="O93" s="25" t="b">
        <f t="shared" si="5"/>
        <v>0</v>
      </c>
      <c r="P93" s="26" t="b">
        <f t="shared" si="6"/>
        <v>0</v>
      </c>
      <c r="Q93" s="27" t="b">
        <f t="shared" si="8"/>
        <v>0</v>
      </c>
    </row>
    <row r="94">
      <c r="F94" s="8">
        <v>91.0</v>
      </c>
      <c r="G94" s="11">
        <f t="shared" si="1"/>
        <v>3187500</v>
      </c>
      <c r="H94" s="9">
        <f>INT(IF(AND('Lån Översikt'!$D$7="JA", 'Lån Översikt'!$D$11="JA", 'Lån Översikt'!$D$8="JA"), (G94*(('Lån Översikt'!$C$7/100*'Lån Översikt'!$C$11/100)-'Lån Översikt'!$C$8/100))/12, IF(AND('Lån Översikt'!$D$7="JA", 'Lån Översikt'!$D$11="JA", 'Lån Översikt'!$D$8="NEJ"), (G94*(('Lån Översikt'!$C$7/100*'Lån Översikt'!$C$11/100))/12), 0)))
</f>
        <v>8146</v>
      </c>
      <c r="I94" s="8">
        <f t="shared" si="2"/>
        <v>4712</v>
      </c>
      <c r="J94" s="8">
        <f>IF(AND(P94, O94), 0, IF(O94, INT((('Lån Översikt'!$C$5 * 1 / 100) / 12)), INT((('Lån Översikt'!$C$5 * 'Lån Översikt'!$C$15 / 100) / 12))))
</f>
        <v>6250</v>
      </c>
      <c r="K94" s="8">
        <f t="shared" si="3"/>
        <v>4166</v>
      </c>
      <c r="L94" s="8">
        <f t="shared" si="4"/>
        <v>23274</v>
      </c>
      <c r="M94" s="8">
        <f>(L94 + 'Lån Översikt'!$D$50)</f>
        <v>45223</v>
      </c>
      <c r="N94" s="8">
        <f>IF('Lån Översikt'!$D$22 = "JA", 
    IF(Q94 = TRUE, 'Lån Översikt'!$D$24 - M94, 'Lån Översikt'!$D$24 - M94 + 18300), 
    'Lån Översikt'!$D$24 - M94)
</f>
        <v>4577</v>
      </c>
      <c r="O94" s="25" t="b">
        <f t="shared" si="5"/>
        <v>0</v>
      </c>
      <c r="P94" s="26" t="b">
        <f t="shared" si="6"/>
        <v>0</v>
      </c>
      <c r="Q94" s="27" t="b">
        <f t="shared" si="8"/>
        <v>0</v>
      </c>
    </row>
    <row r="95">
      <c r="F95" s="8">
        <v>92.0</v>
      </c>
      <c r="G95" s="11">
        <f t="shared" si="1"/>
        <v>3181250</v>
      </c>
      <c r="H95" s="9">
        <f>INT(IF(AND('Lån Översikt'!$D$7="JA", 'Lån Översikt'!$D$11="JA", 'Lån Översikt'!$D$8="JA"), (G95*(('Lån Översikt'!$C$7/100*'Lån Översikt'!$C$11/100)-'Lån Översikt'!$C$8/100))/12, IF(AND('Lån Översikt'!$D$7="JA", 'Lån Översikt'!$D$11="JA", 'Lån Översikt'!$D$8="NEJ"), (G95*(('Lån Översikt'!$C$7/100*'Lån Översikt'!$C$11/100))/12), 0)))
</f>
        <v>8130</v>
      </c>
      <c r="I95" s="8">
        <f t="shared" si="2"/>
        <v>4712</v>
      </c>
      <c r="J95" s="8">
        <f>IF(AND(P95, O95), 0, IF(O95, INT((('Lån Översikt'!$C$5 * 1 / 100) / 12)), INT((('Lån Översikt'!$C$5 * 'Lån Översikt'!$C$15 / 100) / 12))))
</f>
        <v>6250</v>
      </c>
      <c r="K95" s="8">
        <f t="shared" si="3"/>
        <v>4166</v>
      </c>
      <c r="L95" s="8">
        <f t="shared" si="4"/>
        <v>23258</v>
      </c>
      <c r="M95" s="8">
        <f>(L95 + 'Lån Översikt'!$D$50)</f>
        <v>45207</v>
      </c>
      <c r="N95" s="8">
        <f>IF('Lån Översikt'!$D$22 = "JA", 
    IF(Q95 = TRUE, 'Lån Översikt'!$D$24 - M95, 'Lån Översikt'!$D$24 - M95 + 18300), 
    'Lån Översikt'!$D$24 - M95)
</f>
        <v>4593</v>
      </c>
      <c r="O95" s="25" t="b">
        <f t="shared" si="5"/>
        <v>0</v>
      </c>
      <c r="P95" s="26" t="b">
        <f t="shared" si="6"/>
        <v>0</v>
      </c>
      <c r="Q95" s="27" t="b">
        <f t="shared" si="8"/>
        <v>0</v>
      </c>
    </row>
    <row r="96">
      <c r="F96" s="8">
        <v>93.0</v>
      </c>
      <c r="G96" s="11">
        <f t="shared" si="1"/>
        <v>3175000</v>
      </c>
      <c r="H96" s="9">
        <f>INT(IF(AND('Lån Översikt'!$D$7="JA", 'Lån Översikt'!$D$11="JA", 'Lån Översikt'!$D$8="JA"), (G96*(('Lån Översikt'!$C$7/100*'Lån Översikt'!$C$11/100)-'Lån Översikt'!$C$8/100))/12, IF(AND('Lån Översikt'!$D$7="JA", 'Lån Översikt'!$D$11="JA", 'Lån Översikt'!$D$8="NEJ"), (G96*(('Lån Översikt'!$C$7/100*'Lån Översikt'!$C$11/100))/12), 0)))
</f>
        <v>8114</v>
      </c>
      <c r="I96" s="8">
        <f t="shared" si="2"/>
        <v>4712</v>
      </c>
      <c r="J96" s="8">
        <f>IF(AND(P96, O96), 0, IF(O96, INT((('Lån Översikt'!$C$5 * 1 / 100) / 12)), INT((('Lån Översikt'!$C$5 * 'Lån Översikt'!$C$15 / 100) / 12))))
</f>
        <v>6250</v>
      </c>
      <c r="K96" s="8">
        <f t="shared" si="3"/>
        <v>4166</v>
      </c>
      <c r="L96" s="8">
        <f t="shared" si="4"/>
        <v>23242</v>
      </c>
      <c r="M96" s="8">
        <f>(L96 + 'Lån Översikt'!$D$50)</f>
        <v>45191</v>
      </c>
      <c r="N96" s="8">
        <f>IF('Lån Översikt'!$D$22 = "JA", 
    IF(Q96 = TRUE, 'Lån Översikt'!$D$24 - M96, 'Lån Översikt'!$D$24 - M96 + 18300), 
    'Lån Översikt'!$D$24 - M96)
</f>
        <v>4609</v>
      </c>
      <c r="O96" s="25" t="b">
        <f t="shared" si="5"/>
        <v>0</v>
      </c>
      <c r="P96" s="26" t="b">
        <f t="shared" si="6"/>
        <v>0</v>
      </c>
      <c r="Q96" s="27" t="b">
        <f t="shared" si="8"/>
        <v>0</v>
      </c>
    </row>
    <row r="97">
      <c r="F97" s="8">
        <v>94.0</v>
      </c>
      <c r="G97" s="11">
        <f t="shared" si="1"/>
        <v>3168750</v>
      </c>
      <c r="H97" s="9">
        <f>INT(IF(AND('Lån Översikt'!$D$7="JA", 'Lån Översikt'!$D$11="JA", 'Lån Översikt'!$D$8="JA"), (G97*(('Lån Översikt'!$C$7/100*'Lån Översikt'!$C$11/100)-'Lån Översikt'!$C$8/100))/12, IF(AND('Lån Översikt'!$D$7="JA", 'Lån Översikt'!$D$11="JA", 'Lån Översikt'!$D$8="NEJ"), (G97*(('Lån Översikt'!$C$7/100*'Lån Översikt'!$C$11/100))/12), 0)))
</f>
        <v>8098</v>
      </c>
      <c r="I97" s="8">
        <f t="shared" si="2"/>
        <v>4712</v>
      </c>
      <c r="J97" s="8">
        <f>IF(AND(P97, O97), 0, IF(O97, INT((('Lån Översikt'!$C$5 * 1 / 100) / 12)), INT((('Lån Översikt'!$C$5 * 'Lån Översikt'!$C$15 / 100) / 12))))
</f>
        <v>6250</v>
      </c>
      <c r="K97" s="8">
        <f t="shared" si="3"/>
        <v>4166</v>
      </c>
      <c r="L97" s="8">
        <f t="shared" si="4"/>
        <v>23226</v>
      </c>
      <c r="M97" s="8">
        <f>(L97 + 'Lån Översikt'!$D$50)</f>
        <v>45175</v>
      </c>
      <c r="N97" s="8">
        <f>IF('Lån Översikt'!$D$22 = "JA", 
    IF(Q97 = TRUE, 'Lån Översikt'!$D$24 - M97, 'Lån Översikt'!$D$24 - M97 + 18300), 
    'Lån Översikt'!$D$24 - M97)
</f>
        <v>4625</v>
      </c>
      <c r="O97" s="25" t="b">
        <f t="shared" si="5"/>
        <v>0</v>
      </c>
      <c r="P97" s="26" t="b">
        <f t="shared" si="6"/>
        <v>0</v>
      </c>
      <c r="Q97" s="27" t="b">
        <f t="shared" si="8"/>
        <v>0</v>
      </c>
    </row>
    <row r="98">
      <c r="F98" s="8">
        <v>95.0</v>
      </c>
      <c r="G98" s="11">
        <f t="shared" si="1"/>
        <v>3162500</v>
      </c>
      <c r="H98" s="9">
        <f>INT(IF(AND('Lån Översikt'!$D$7="JA", 'Lån Översikt'!$D$11="JA", 'Lån Översikt'!$D$8="JA"), (G98*(('Lån Översikt'!$C$7/100*'Lån Översikt'!$C$11/100)-'Lån Översikt'!$C$8/100))/12, IF(AND('Lån Översikt'!$D$7="JA", 'Lån Översikt'!$D$11="JA", 'Lån Översikt'!$D$8="NEJ"), (G98*(('Lån Översikt'!$C$7/100*'Lån Översikt'!$C$11/100))/12), 0)))
</f>
        <v>8082</v>
      </c>
      <c r="I98" s="8">
        <f t="shared" si="2"/>
        <v>4712</v>
      </c>
      <c r="J98" s="8">
        <f>IF(AND(P98, O98), 0, IF(O98, INT((('Lån Översikt'!$C$5 * 1 / 100) / 12)), INT((('Lån Översikt'!$C$5 * 'Lån Översikt'!$C$15 / 100) / 12))))
</f>
        <v>6250</v>
      </c>
      <c r="K98" s="8">
        <f t="shared" si="3"/>
        <v>4166</v>
      </c>
      <c r="L98" s="8">
        <f t="shared" si="4"/>
        <v>23210</v>
      </c>
      <c r="M98" s="8">
        <f>(L98 + 'Lån Översikt'!$D$50)</f>
        <v>45159</v>
      </c>
      <c r="N98" s="8">
        <f>IF('Lån Översikt'!$D$22 = "JA", 
    IF(Q98 = TRUE, 'Lån Översikt'!$D$24 - M98, 'Lån Översikt'!$D$24 - M98 + 18300), 
    'Lån Översikt'!$D$24 - M98)
</f>
        <v>4641</v>
      </c>
      <c r="O98" s="25" t="b">
        <f t="shared" si="5"/>
        <v>0</v>
      </c>
      <c r="P98" s="26" t="b">
        <f t="shared" si="6"/>
        <v>0</v>
      </c>
      <c r="Q98" s="27" t="b">
        <f t="shared" si="8"/>
        <v>0</v>
      </c>
    </row>
    <row r="99">
      <c r="F99" s="8">
        <v>96.0</v>
      </c>
      <c r="G99" s="11">
        <f t="shared" si="1"/>
        <v>3156250</v>
      </c>
      <c r="H99" s="9">
        <f>INT(IF(AND('Lån Översikt'!$D$7="JA", 'Lån Översikt'!$D$11="JA", 'Lån Översikt'!$D$8="JA"), (G99*(('Lån Översikt'!$C$7/100*'Lån Översikt'!$C$11/100)-'Lån Översikt'!$C$8/100))/12, IF(AND('Lån Översikt'!$D$7="JA", 'Lån Översikt'!$D$11="JA", 'Lån Översikt'!$D$8="NEJ"), (G99*(('Lån Översikt'!$C$7/100*'Lån Översikt'!$C$11/100))/12), 0)))
</f>
        <v>8066</v>
      </c>
      <c r="I99" s="8">
        <f t="shared" si="2"/>
        <v>4712</v>
      </c>
      <c r="J99" s="8">
        <f>IF(AND(P99, O99), 0, IF(O99, INT((('Lån Översikt'!$C$5 * 1 / 100) / 12)), INT((('Lån Översikt'!$C$5 * 'Lån Översikt'!$C$15 / 100) / 12))))
</f>
        <v>6250</v>
      </c>
      <c r="K99" s="8">
        <f t="shared" si="3"/>
        <v>4166</v>
      </c>
      <c r="L99" s="8">
        <f t="shared" si="4"/>
        <v>23194</v>
      </c>
      <c r="M99" s="8">
        <f>(L99 + 'Lån Översikt'!$D$50)</f>
        <v>45143</v>
      </c>
      <c r="N99" s="8">
        <f>IF('Lån Översikt'!$D$22 = "JA", 
    IF(Q99 = TRUE, 'Lån Översikt'!$D$24 - M99, 'Lån Översikt'!$D$24 - M99 + 18300), 
    'Lån Översikt'!$D$24 - M99)
</f>
        <v>4657</v>
      </c>
      <c r="O99" s="25" t="b">
        <f t="shared" si="5"/>
        <v>0</v>
      </c>
      <c r="P99" s="26" t="b">
        <f t="shared" si="6"/>
        <v>0</v>
      </c>
      <c r="Q99" s="27" t="b">
        <f t="shared" si="8"/>
        <v>0</v>
      </c>
    </row>
    <row r="100">
      <c r="F100" s="8">
        <v>97.0</v>
      </c>
      <c r="G100" s="11">
        <f t="shared" si="1"/>
        <v>3150000</v>
      </c>
      <c r="H100" s="9">
        <f>INT(IF(AND('Lån Översikt'!$D$7="JA", 'Lån Översikt'!$D$11="JA", 'Lån Översikt'!$D$8="JA"), (G100*(('Lån Översikt'!$C$7/100*'Lån Översikt'!$C$11/100)-'Lån Översikt'!$C$8/100))/12, IF(AND('Lån Översikt'!$D$7="JA", 'Lån Översikt'!$D$11="JA", 'Lån Översikt'!$D$8="NEJ"), (G100*(('Lån Översikt'!$C$7/100*'Lån Översikt'!$C$11/100))/12), 0)))
</f>
        <v>8050</v>
      </c>
      <c r="I100" s="8">
        <f t="shared" si="2"/>
        <v>4712</v>
      </c>
      <c r="J100" s="8">
        <f>IF(AND(P100, O100), 0, IF(O100, INT((('Lån Översikt'!$C$5 * 1 / 100) / 12)), INT((('Lån Översikt'!$C$5 * 'Lån Översikt'!$C$15 / 100) / 12))))
</f>
        <v>6250</v>
      </c>
      <c r="K100" s="8">
        <f t="shared" si="3"/>
        <v>4166</v>
      </c>
      <c r="L100" s="8">
        <f t="shared" si="4"/>
        <v>23178</v>
      </c>
      <c r="M100" s="8">
        <f>(L100 + 'Lån Översikt'!$D$50)</f>
        <v>45127</v>
      </c>
      <c r="N100" s="8">
        <f>IF('Lån Översikt'!$D$22 = "JA", 
    IF(Q100 = TRUE, 'Lån Översikt'!$D$24 - M100, 'Lån Översikt'!$D$24 - M100 + 18300), 
    'Lån Översikt'!$D$24 - M100)
</f>
        <v>4673</v>
      </c>
      <c r="O100" s="25" t="b">
        <f t="shared" si="5"/>
        <v>0</v>
      </c>
      <c r="P100" s="26" t="b">
        <f t="shared" si="6"/>
        <v>0</v>
      </c>
      <c r="Q100" s="27" t="b">
        <f t="shared" si="8"/>
        <v>0</v>
      </c>
    </row>
    <row r="101">
      <c r="F101" s="8">
        <v>98.0</v>
      </c>
      <c r="G101" s="11">
        <f t="shared" si="1"/>
        <v>3143750</v>
      </c>
      <c r="H101" s="9">
        <f>INT(IF(AND('Lån Översikt'!$D$7="JA", 'Lån Översikt'!$D$11="JA", 'Lån Översikt'!$D$8="JA"), (G101*(('Lån Översikt'!$C$7/100*'Lån Översikt'!$C$11/100)-'Lån Översikt'!$C$8/100))/12, IF(AND('Lån Översikt'!$D$7="JA", 'Lån Översikt'!$D$11="JA", 'Lån Översikt'!$D$8="NEJ"), (G101*(('Lån Översikt'!$C$7/100*'Lån Översikt'!$C$11/100))/12), 0)))
</f>
        <v>8034</v>
      </c>
      <c r="I101" s="8">
        <f t="shared" si="2"/>
        <v>4712</v>
      </c>
      <c r="J101" s="8">
        <f>IF(AND(P101, O101), 0, IF(O101, INT((('Lån Översikt'!$C$5 * 1 / 100) / 12)), INT((('Lån Översikt'!$C$5 * 'Lån Översikt'!$C$15 / 100) / 12))))
</f>
        <v>6250</v>
      </c>
      <c r="K101" s="8">
        <f t="shared" si="3"/>
        <v>4166</v>
      </c>
      <c r="L101" s="8">
        <f t="shared" si="4"/>
        <v>23162</v>
      </c>
      <c r="M101" s="8">
        <f>(L101 + 'Lån Översikt'!$D$50)</f>
        <v>45111</v>
      </c>
      <c r="N101" s="8">
        <f>IF('Lån Översikt'!$D$22 = "JA", 
    IF(Q101 = TRUE, 'Lån Översikt'!$D$24 - M101, 'Lån Översikt'!$D$24 - M101 + 18300), 
    'Lån Översikt'!$D$24 - M101)
</f>
        <v>4689</v>
      </c>
      <c r="O101" s="25" t="b">
        <f t="shared" si="5"/>
        <v>0</v>
      </c>
      <c r="P101" s="26" t="b">
        <f t="shared" si="6"/>
        <v>0</v>
      </c>
      <c r="Q101" s="27" t="b">
        <f t="shared" si="8"/>
        <v>0</v>
      </c>
    </row>
    <row r="102">
      <c r="F102" s="8">
        <v>99.0</v>
      </c>
      <c r="G102" s="11">
        <f t="shared" si="1"/>
        <v>3137500</v>
      </c>
      <c r="H102" s="9">
        <f>INT(IF(AND('Lån Översikt'!$D$7="JA", 'Lån Översikt'!$D$11="JA", 'Lån Översikt'!$D$8="JA"), (G102*(('Lån Översikt'!$C$7/100*'Lån Översikt'!$C$11/100)-'Lån Översikt'!$C$8/100))/12, IF(AND('Lån Översikt'!$D$7="JA", 'Lån Översikt'!$D$11="JA", 'Lån Översikt'!$D$8="NEJ"), (G102*(('Lån Översikt'!$C$7/100*'Lån Översikt'!$C$11/100))/12), 0)))
</f>
        <v>8018</v>
      </c>
      <c r="I102" s="8">
        <f t="shared" si="2"/>
        <v>4712</v>
      </c>
      <c r="J102" s="8">
        <f>IF(AND(P102, O102), 0, IF(O102, INT((('Lån Översikt'!$C$5 * 1 / 100) / 12)), INT((('Lån Översikt'!$C$5 * 'Lån Översikt'!$C$15 / 100) / 12))))
</f>
        <v>6250</v>
      </c>
      <c r="K102" s="8">
        <f t="shared" si="3"/>
        <v>4166</v>
      </c>
      <c r="L102" s="8">
        <f t="shared" si="4"/>
        <v>23146</v>
      </c>
      <c r="M102" s="8">
        <f>(L102 + 'Lån Översikt'!$D$50)</f>
        <v>45095</v>
      </c>
      <c r="N102" s="8">
        <f>IF('Lån Översikt'!$D$22 = "JA", 
    IF(Q102 = TRUE, 'Lån Översikt'!$D$24 - M102, 'Lån Översikt'!$D$24 - M102 + 18300), 
    'Lån Översikt'!$D$24 - M102)
</f>
        <v>4705</v>
      </c>
      <c r="O102" s="25" t="b">
        <f t="shared" si="5"/>
        <v>0</v>
      </c>
      <c r="P102" s="26" t="b">
        <f t="shared" si="6"/>
        <v>0</v>
      </c>
      <c r="Q102" s="27" t="b">
        <f t="shared" si="8"/>
        <v>0</v>
      </c>
    </row>
    <row r="103">
      <c r="F103" s="8">
        <v>100.0</v>
      </c>
      <c r="G103" s="11">
        <f t="shared" si="1"/>
        <v>3131250</v>
      </c>
      <c r="H103" s="9">
        <f>INT(IF(AND('Lån Översikt'!$D$7="JA", 'Lån Översikt'!$D$11="JA", 'Lån Översikt'!$D$8="JA"), (G103*(('Lån Översikt'!$C$7/100*'Lån Översikt'!$C$11/100)-'Lån Översikt'!$C$8/100))/12, IF(AND('Lån Översikt'!$D$7="JA", 'Lån Översikt'!$D$11="JA", 'Lån Översikt'!$D$8="NEJ"), (G103*(('Lån Översikt'!$C$7/100*'Lån Översikt'!$C$11/100))/12), 0)))
</f>
        <v>8002</v>
      </c>
      <c r="I103" s="8">
        <f t="shared" si="2"/>
        <v>4712</v>
      </c>
      <c r="J103" s="8">
        <f>IF(AND(P103, O103), 0, IF(O103, INT((('Lån Översikt'!$C$5 * 1 / 100) / 12)), INT((('Lån Översikt'!$C$5 * 'Lån Översikt'!$C$15 / 100) / 12))))
</f>
        <v>6250</v>
      </c>
      <c r="K103" s="8">
        <f t="shared" si="3"/>
        <v>4166</v>
      </c>
      <c r="L103" s="8">
        <f t="shared" si="4"/>
        <v>23130</v>
      </c>
      <c r="M103" s="8">
        <f>(L103 + 'Lån Översikt'!$D$50)</f>
        <v>45079</v>
      </c>
      <c r="N103" s="8">
        <f>IF('Lån Översikt'!$D$22 = "JA", 
    IF(Q103 = TRUE, 'Lån Översikt'!$D$24 - M103, 'Lån Översikt'!$D$24 - M103 + 18300), 
    'Lån Översikt'!$D$24 - M103)
</f>
        <v>4721</v>
      </c>
      <c r="O103" s="25" t="b">
        <f t="shared" si="5"/>
        <v>0</v>
      </c>
      <c r="P103" s="26" t="b">
        <f t="shared" si="6"/>
        <v>0</v>
      </c>
      <c r="Q103" s="27" t="b">
        <f t="shared" si="8"/>
        <v>0</v>
      </c>
    </row>
    <row r="104">
      <c r="F104" s="8">
        <v>101.0</v>
      </c>
      <c r="G104" s="11">
        <f t="shared" si="1"/>
        <v>3125000</v>
      </c>
      <c r="H104" s="9">
        <f>INT(IF(AND('Lån Översikt'!$D$7="JA", 'Lån Översikt'!$D$11="JA", 'Lån Översikt'!$D$8="JA"), (G104*(('Lån Översikt'!$C$7/100*'Lån Översikt'!$C$11/100)-'Lån Översikt'!$C$8/100))/12, IF(AND('Lån Översikt'!$D$7="JA", 'Lån Översikt'!$D$11="JA", 'Lån Översikt'!$D$8="NEJ"), (G104*(('Lån Översikt'!$C$7/100*'Lån Översikt'!$C$11/100))/12), 0)))
</f>
        <v>7986</v>
      </c>
      <c r="I104" s="8">
        <f t="shared" si="2"/>
        <v>4712</v>
      </c>
      <c r="J104" s="8">
        <f>IF(AND(P104, O104), 0, IF(O104, INT((('Lån Översikt'!$C$5 * 1 / 100) / 12)), INT((('Lån Översikt'!$C$5 * 'Lån Översikt'!$C$15 / 100) / 12))))
</f>
        <v>6250</v>
      </c>
      <c r="K104" s="8">
        <f t="shared" si="3"/>
        <v>4166</v>
      </c>
      <c r="L104" s="8">
        <f t="shared" si="4"/>
        <v>23114</v>
      </c>
      <c r="M104" s="8">
        <f>(L104 + 'Lån Översikt'!$D$50)</f>
        <v>45063</v>
      </c>
      <c r="N104" s="8">
        <f>IF('Lån Översikt'!$D$22 = "JA", 
    IF(Q104 = TRUE, 'Lån Översikt'!$D$24 - M104, 'Lån Översikt'!$D$24 - M104 + 18300), 
    'Lån Översikt'!$D$24 - M104)
</f>
        <v>4737</v>
      </c>
      <c r="O104" s="25" t="b">
        <f t="shared" si="5"/>
        <v>0</v>
      </c>
      <c r="P104" s="26" t="b">
        <f t="shared" si="6"/>
        <v>0</v>
      </c>
      <c r="Q104" s="27" t="b">
        <f t="shared" si="8"/>
        <v>0</v>
      </c>
    </row>
    <row r="105">
      <c r="F105" s="8">
        <v>102.0</v>
      </c>
      <c r="G105" s="11">
        <f t="shared" si="1"/>
        <v>3118750</v>
      </c>
      <c r="H105" s="9">
        <f>INT(IF(AND('Lån Översikt'!$D$7="JA", 'Lån Översikt'!$D$11="JA", 'Lån Översikt'!$D$8="JA"), (G105*(('Lån Översikt'!$C$7/100*'Lån Översikt'!$C$11/100)-'Lån Översikt'!$C$8/100))/12, IF(AND('Lån Översikt'!$D$7="JA", 'Lån Översikt'!$D$11="JA", 'Lån Översikt'!$D$8="NEJ"), (G105*(('Lån Översikt'!$C$7/100*'Lån Översikt'!$C$11/100))/12), 0)))
</f>
        <v>7971</v>
      </c>
      <c r="I105" s="8">
        <f t="shared" si="2"/>
        <v>4712</v>
      </c>
      <c r="J105" s="8">
        <f>IF(AND(P105, O105), 0, IF(O105, INT((('Lån Översikt'!$C$5 * 1 / 100) / 12)), INT((('Lån Översikt'!$C$5 * 'Lån Översikt'!$C$15 / 100) / 12))))
</f>
        <v>6250</v>
      </c>
      <c r="K105" s="8">
        <f t="shared" si="3"/>
        <v>4166</v>
      </c>
      <c r="L105" s="8">
        <f t="shared" si="4"/>
        <v>23099</v>
      </c>
      <c r="M105" s="8">
        <f>(L105 + 'Lån Översikt'!$D$50)</f>
        <v>45048</v>
      </c>
      <c r="N105" s="8">
        <f>IF('Lån Översikt'!$D$22 = "JA", 
    IF(Q105 = TRUE, 'Lån Översikt'!$D$24 - M105, 'Lån Översikt'!$D$24 - M105 + 18300), 
    'Lån Översikt'!$D$24 - M105)
</f>
        <v>4752</v>
      </c>
      <c r="O105" s="25" t="b">
        <f t="shared" si="5"/>
        <v>0</v>
      </c>
      <c r="P105" s="26" t="b">
        <f t="shared" si="6"/>
        <v>0</v>
      </c>
      <c r="Q105" s="27" t="b">
        <f t="shared" si="8"/>
        <v>0</v>
      </c>
    </row>
    <row r="106">
      <c r="F106" s="8">
        <v>103.0</v>
      </c>
      <c r="G106" s="11">
        <f t="shared" si="1"/>
        <v>3112500</v>
      </c>
      <c r="H106" s="9">
        <f>INT(IF(AND('Lån Översikt'!$D$7="JA", 'Lån Översikt'!$D$11="JA", 'Lån Översikt'!$D$8="JA"), (G106*(('Lån Översikt'!$C$7/100*'Lån Översikt'!$C$11/100)-'Lån Översikt'!$C$8/100))/12, IF(AND('Lån Översikt'!$D$7="JA", 'Lån Översikt'!$D$11="JA", 'Lån Översikt'!$D$8="NEJ"), (G106*(('Lån Översikt'!$C$7/100*'Lån Översikt'!$C$11/100))/12), 0)))
</f>
        <v>7955</v>
      </c>
      <c r="I106" s="8">
        <f t="shared" si="2"/>
        <v>4712</v>
      </c>
      <c r="J106" s="8">
        <f>IF(AND(P106, O106), 0, IF(O106, INT((('Lån Översikt'!$C$5 * 1 / 100) / 12)), INT((('Lån Översikt'!$C$5 * 'Lån Översikt'!$C$15 / 100) / 12))))
</f>
        <v>6250</v>
      </c>
      <c r="K106" s="8">
        <f t="shared" si="3"/>
        <v>4166</v>
      </c>
      <c r="L106" s="8">
        <f t="shared" si="4"/>
        <v>23083</v>
      </c>
      <c r="M106" s="8">
        <f>(L106 + 'Lån Översikt'!$D$50)</f>
        <v>45032</v>
      </c>
      <c r="N106" s="8">
        <f>IF('Lån Översikt'!$D$22 = "JA", 
    IF(Q106 = TRUE, 'Lån Översikt'!$D$24 - M106, 'Lån Översikt'!$D$24 - M106 + 18300), 
    'Lån Översikt'!$D$24 - M106)
</f>
        <v>4768</v>
      </c>
      <c r="O106" s="25" t="b">
        <f t="shared" si="5"/>
        <v>0</v>
      </c>
      <c r="P106" s="26" t="b">
        <f t="shared" si="6"/>
        <v>0</v>
      </c>
      <c r="Q106" s="27" t="b">
        <f t="shared" si="8"/>
        <v>0</v>
      </c>
    </row>
    <row r="107">
      <c r="F107" s="8">
        <v>104.0</v>
      </c>
      <c r="G107" s="11">
        <f t="shared" si="1"/>
        <v>3106250</v>
      </c>
      <c r="H107" s="9">
        <f>INT(IF(AND('Lån Översikt'!$D$7="JA", 'Lån Översikt'!$D$11="JA", 'Lån Översikt'!$D$8="JA"), (G107*(('Lån Översikt'!$C$7/100*'Lån Översikt'!$C$11/100)-'Lån Översikt'!$C$8/100))/12, IF(AND('Lån Översikt'!$D$7="JA", 'Lån Översikt'!$D$11="JA", 'Lån Översikt'!$D$8="NEJ"), (G107*(('Lån Översikt'!$C$7/100*'Lån Översikt'!$C$11/100))/12), 0)))
</f>
        <v>7939</v>
      </c>
      <c r="I107" s="8">
        <f t="shared" si="2"/>
        <v>4712</v>
      </c>
      <c r="J107" s="8">
        <f>IF(AND(P107, O107), 0, IF(O107, INT((('Lån Översikt'!$C$5 * 1 / 100) / 12)), INT((('Lån Översikt'!$C$5 * 'Lån Översikt'!$C$15 / 100) / 12))))
</f>
        <v>6250</v>
      </c>
      <c r="K107" s="8">
        <f t="shared" si="3"/>
        <v>4166</v>
      </c>
      <c r="L107" s="8">
        <f t="shared" si="4"/>
        <v>23067</v>
      </c>
      <c r="M107" s="8">
        <f>(L107 + 'Lån Översikt'!$D$50)</f>
        <v>45016</v>
      </c>
      <c r="N107" s="8">
        <f>IF('Lån Översikt'!$D$22 = "JA", 
    IF(Q107 = TRUE, 'Lån Översikt'!$D$24 - M107, 'Lån Översikt'!$D$24 - M107 + 18300), 
    'Lån Översikt'!$D$24 - M107)
</f>
        <v>4784</v>
      </c>
      <c r="O107" s="25" t="b">
        <f t="shared" si="5"/>
        <v>0</v>
      </c>
      <c r="P107" s="26" t="b">
        <f t="shared" si="6"/>
        <v>0</v>
      </c>
      <c r="Q107" s="27" t="b">
        <f t="shared" si="8"/>
        <v>0</v>
      </c>
    </row>
    <row r="108">
      <c r="F108" s="8">
        <v>105.0</v>
      </c>
      <c r="G108" s="11">
        <f t="shared" si="1"/>
        <v>3100000</v>
      </c>
      <c r="H108" s="9">
        <f>INT(IF(AND('Lån Översikt'!$D$7="JA", 'Lån Översikt'!$D$11="JA", 'Lån Översikt'!$D$8="JA"), (G108*(('Lån Översikt'!$C$7/100*'Lån Översikt'!$C$11/100)-'Lån Översikt'!$C$8/100))/12, IF(AND('Lån Översikt'!$D$7="JA", 'Lån Översikt'!$D$11="JA", 'Lån Översikt'!$D$8="NEJ"), (G108*(('Lån Översikt'!$C$7/100*'Lån Översikt'!$C$11/100))/12), 0)))
</f>
        <v>7923</v>
      </c>
      <c r="I108" s="8">
        <f t="shared" si="2"/>
        <v>4712</v>
      </c>
      <c r="J108" s="8">
        <f>IF(AND(P108, O108), 0, IF(O108, INT((('Lån Översikt'!$C$5 * 1 / 100) / 12)), INT((('Lån Översikt'!$C$5 * 'Lån Översikt'!$C$15 / 100) / 12))))
</f>
        <v>6250</v>
      </c>
      <c r="K108" s="8">
        <f t="shared" si="3"/>
        <v>4166</v>
      </c>
      <c r="L108" s="8">
        <f t="shared" si="4"/>
        <v>23051</v>
      </c>
      <c r="M108" s="8">
        <f>(L108 + 'Lån Översikt'!$D$50)</f>
        <v>45000</v>
      </c>
      <c r="N108" s="8">
        <f>IF('Lån Översikt'!$D$22 = "JA", 
    IF(Q108 = TRUE, 'Lån Översikt'!$D$24 - M108, 'Lån Översikt'!$D$24 - M108 + 18300), 
    'Lån Översikt'!$D$24 - M108)
</f>
        <v>4800</v>
      </c>
      <c r="O108" s="25" t="b">
        <f t="shared" si="5"/>
        <v>0</v>
      </c>
      <c r="P108" s="26" t="b">
        <f t="shared" si="6"/>
        <v>0</v>
      </c>
      <c r="Q108" s="27" t="b">
        <f t="shared" si="8"/>
        <v>0</v>
      </c>
    </row>
    <row r="109">
      <c r="F109" s="8">
        <v>106.0</v>
      </c>
      <c r="G109" s="11">
        <f t="shared" si="1"/>
        <v>3093750</v>
      </c>
      <c r="H109" s="9">
        <f>INT(IF(AND('Lån Översikt'!$D$7="JA", 'Lån Översikt'!$D$11="JA", 'Lån Översikt'!$D$8="JA"), (G109*(('Lån Översikt'!$C$7/100*'Lån Översikt'!$C$11/100)-'Lån Översikt'!$C$8/100))/12, IF(AND('Lån Översikt'!$D$7="JA", 'Lån Översikt'!$D$11="JA", 'Lån Översikt'!$D$8="NEJ"), (G109*(('Lån Översikt'!$C$7/100*'Lån Översikt'!$C$11/100))/12), 0)))
</f>
        <v>7907</v>
      </c>
      <c r="I109" s="8">
        <f t="shared" si="2"/>
        <v>4712</v>
      </c>
      <c r="J109" s="8">
        <f>IF(AND(P109, O109), 0, IF(O109, INT((('Lån Översikt'!$C$5 * 1 / 100) / 12)), INT((('Lån Översikt'!$C$5 * 'Lån Översikt'!$C$15 / 100) / 12))))
</f>
        <v>6250</v>
      </c>
      <c r="K109" s="8">
        <f t="shared" si="3"/>
        <v>4166</v>
      </c>
      <c r="L109" s="8">
        <f t="shared" si="4"/>
        <v>23035</v>
      </c>
      <c r="M109" s="8">
        <f>(L109 + 'Lån Översikt'!$D$50)</f>
        <v>44984</v>
      </c>
      <c r="N109" s="8">
        <f>IF('Lån Översikt'!$D$22 = "JA", 
    IF(Q109 = TRUE, 'Lån Översikt'!$D$24 - M109, 'Lån Översikt'!$D$24 - M109 + 18300), 
    'Lån Översikt'!$D$24 - M109)
</f>
        <v>4816</v>
      </c>
      <c r="O109" s="25" t="b">
        <f t="shared" si="5"/>
        <v>0</v>
      </c>
      <c r="P109" s="26" t="b">
        <f t="shared" si="6"/>
        <v>0</v>
      </c>
      <c r="Q109" s="27" t="b">
        <f t="shared" si="8"/>
        <v>0</v>
      </c>
    </row>
    <row r="110">
      <c r="F110" s="8">
        <v>107.0</v>
      </c>
      <c r="G110" s="11">
        <f t="shared" si="1"/>
        <v>3087500</v>
      </c>
      <c r="H110" s="9">
        <f>INT(IF(AND('Lån Översikt'!$D$7="JA", 'Lån Översikt'!$D$11="JA", 'Lån Översikt'!$D$8="JA"), (G110*(('Lån Översikt'!$C$7/100*'Lån Översikt'!$C$11/100)-'Lån Översikt'!$C$8/100))/12, IF(AND('Lån Översikt'!$D$7="JA", 'Lån Översikt'!$D$11="JA", 'Lån Översikt'!$D$8="NEJ"), (G110*(('Lån Översikt'!$C$7/100*'Lån Översikt'!$C$11/100))/12), 0)))
</f>
        <v>7891</v>
      </c>
      <c r="I110" s="8">
        <f t="shared" si="2"/>
        <v>4712</v>
      </c>
      <c r="J110" s="8">
        <f>IF(AND(P110, O110), 0, IF(O110, INT((('Lån Översikt'!$C$5 * 1 / 100) / 12)), INT((('Lån Översikt'!$C$5 * 'Lån Översikt'!$C$15 / 100) / 12))))
</f>
        <v>6250</v>
      </c>
      <c r="K110" s="8">
        <f t="shared" si="3"/>
        <v>4166</v>
      </c>
      <c r="L110" s="8">
        <f t="shared" si="4"/>
        <v>23019</v>
      </c>
      <c r="M110" s="8">
        <f>(L110 + 'Lån Översikt'!$D$50)</f>
        <v>44968</v>
      </c>
      <c r="N110" s="8">
        <f>IF('Lån Översikt'!$D$22 = "JA", 
    IF(Q110 = TRUE, 'Lån Översikt'!$D$24 - M110, 'Lån Översikt'!$D$24 - M110 + 18300), 
    'Lån Översikt'!$D$24 - M110)
</f>
        <v>4832</v>
      </c>
      <c r="O110" s="25" t="b">
        <f t="shared" si="5"/>
        <v>0</v>
      </c>
      <c r="P110" s="26" t="b">
        <f t="shared" si="6"/>
        <v>0</v>
      </c>
      <c r="Q110" s="27" t="b">
        <f t="shared" si="8"/>
        <v>0</v>
      </c>
    </row>
    <row r="111">
      <c r="F111" s="8">
        <v>108.0</v>
      </c>
      <c r="G111" s="11">
        <f t="shared" si="1"/>
        <v>3081250</v>
      </c>
      <c r="H111" s="9">
        <f>INT(IF(AND('Lån Översikt'!$D$7="JA", 'Lån Översikt'!$D$11="JA", 'Lån Översikt'!$D$8="JA"), (G111*(('Lån Översikt'!$C$7/100*'Lån Översikt'!$C$11/100)-'Lån Översikt'!$C$8/100))/12, IF(AND('Lån Översikt'!$D$7="JA", 'Lån Översikt'!$D$11="JA", 'Lån Översikt'!$D$8="NEJ"), (G111*(('Lån Översikt'!$C$7/100*'Lån Översikt'!$C$11/100))/12), 0)))
</f>
        <v>7875</v>
      </c>
      <c r="I111" s="8">
        <f t="shared" si="2"/>
        <v>4712</v>
      </c>
      <c r="J111" s="8">
        <f>IF(AND(P111, O111), 0, IF(O111, INT((('Lån Översikt'!$C$5 * 1 / 100) / 12)), INT((('Lån Översikt'!$C$5 * 'Lån Översikt'!$C$15 / 100) / 12))))
</f>
        <v>6250</v>
      </c>
      <c r="K111" s="8">
        <f t="shared" si="3"/>
        <v>4166</v>
      </c>
      <c r="L111" s="8">
        <f t="shared" si="4"/>
        <v>23003</v>
      </c>
      <c r="M111" s="8">
        <f>(L111 + 'Lån Översikt'!$D$50)</f>
        <v>44952</v>
      </c>
      <c r="N111" s="8">
        <f>IF('Lån Översikt'!$D$22 = "JA", 
    IF(Q111 = TRUE, 'Lån Översikt'!$D$24 - M111, 'Lån Översikt'!$D$24 - M111 + 18300), 
    'Lån Översikt'!$D$24 - M111)
</f>
        <v>4848</v>
      </c>
      <c r="O111" s="25" t="b">
        <f t="shared" si="5"/>
        <v>0</v>
      </c>
      <c r="P111" s="26" t="b">
        <f t="shared" si="6"/>
        <v>0</v>
      </c>
      <c r="Q111" s="27" t="b">
        <f t="shared" si="8"/>
        <v>0</v>
      </c>
    </row>
    <row r="112">
      <c r="F112" s="8">
        <v>109.0</v>
      </c>
      <c r="G112" s="11">
        <f t="shared" si="1"/>
        <v>3075000</v>
      </c>
      <c r="H112" s="9">
        <f>INT(IF(AND('Lån Översikt'!$D$7="JA", 'Lån Översikt'!$D$11="JA", 'Lån Översikt'!$D$8="JA"), (G112*(('Lån Översikt'!$C$7/100*'Lån Översikt'!$C$11/100)-'Lån Översikt'!$C$8/100))/12, IF(AND('Lån Översikt'!$D$7="JA", 'Lån Översikt'!$D$11="JA", 'Lån Översikt'!$D$8="NEJ"), (G112*(('Lån Översikt'!$C$7/100*'Lån Översikt'!$C$11/100))/12), 0)))
</f>
        <v>7859</v>
      </c>
      <c r="I112" s="8">
        <f t="shared" si="2"/>
        <v>4712</v>
      </c>
      <c r="J112" s="8">
        <f>IF(AND(P112, O112), 0, IF(O112, INT((('Lån Översikt'!$C$5 * 1 / 100) / 12)), INT((('Lån Översikt'!$C$5 * 'Lån Översikt'!$C$15 / 100) / 12))))
</f>
        <v>6250</v>
      </c>
      <c r="K112" s="8">
        <f t="shared" si="3"/>
        <v>4166</v>
      </c>
      <c r="L112" s="8">
        <f t="shared" si="4"/>
        <v>22987</v>
      </c>
      <c r="M112" s="8">
        <f>(L112 + 'Lån Översikt'!$D$50)</f>
        <v>44936</v>
      </c>
      <c r="N112" s="8">
        <f>IF('Lån Översikt'!$D$22 = "JA", 
    IF(Q112 = TRUE, 'Lån Översikt'!$D$24 - M112, 'Lån Översikt'!$D$24 - M112 + 18300), 
    'Lån Översikt'!$D$24 - M112)
</f>
        <v>4864</v>
      </c>
      <c r="O112" s="25" t="b">
        <f t="shared" si="5"/>
        <v>0</v>
      </c>
      <c r="P112" s="26" t="b">
        <f t="shared" si="6"/>
        <v>0</v>
      </c>
      <c r="Q112" s="27" t="b">
        <f t="shared" si="8"/>
        <v>0</v>
      </c>
    </row>
    <row r="113">
      <c r="F113" s="8">
        <v>110.0</v>
      </c>
      <c r="G113" s="11">
        <f t="shared" si="1"/>
        <v>3068750</v>
      </c>
      <c r="H113" s="9">
        <f>INT(IF(AND('Lån Översikt'!$D$7="JA", 'Lån Översikt'!$D$11="JA", 'Lån Översikt'!$D$8="JA"), (G113*(('Lån Översikt'!$C$7/100*'Lån Översikt'!$C$11/100)-'Lån Översikt'!$C$8/100))/12, IF(AND('Lån Översikt'!$D$7="JA", 'Lån Översikt'!$D$11="JA", 'Lån Översikt'!$D$8="NEJ"), (G113*(('Lån Översikt'!$C$7/100*'Lån Översikt'!$C$11/100))/12), 0)))
</f>
        <v>7843</v>
      </c>
      <c r="I113" s="8">
        <f t="shared" si="2"/>
        <v>4712</v>
      </c>
      <c r="J113" s="8">
        <f>IF(AND(P113, O113), 0, IF(O113, INT((('Lån Översikt'!$C$5 * 1 / 100) / 12)), INT((('Lån Översikt'!$C$5 * 'Lån Översikt'!$C$15 / 100) / 12))))
</f>
        <v>6250</v>
      </c>
      <c r="K113" s="8">
        <f t="shared" si="3"/>
        <v>4166</v>
      </c>
      <c r="L113" s="8">
        <f t="shared" si="4"/>
        <v>22971</v>
      </c>
      <c r="M113" s="8">
        <f>(L113 + 'Lån Översikt'!$D$50)</f>
        <v>44920</v>
      </c>
      <c r="N113" s="8">
        <f>IF('Lån Översikt'!$D$22 = "JA", 
    IF(Q113 = TRUE, 'Lån Översikt'!$D$24 - M113, 'Lån Översikt'!$D$24 - M113 + 18300), 
    'Lån Översikt'!$D$24 - M113)
</f>
        <v>4880</v>
      </c>
      <c r="O113" s="25" t="b">
        <f t="shared" si="5"/>
        <v>0</v>
      </c>
      <c r="P113" s="26" t="b">
        <f t="shared" si="6"/>
        <v>0</v>
      </c>
      <c r="Q113" s="27" t="b">
        <f t="shared" si="8"/>
        <v>0</v>
      </c>
    </row>
    <row r="114">
      <c r="F114" s="8">
        <v>111.0</v>
      </c>
      <c r="G114" s="11">
        <f t="shared" si="1"/>
        <v>3062500</v>
      </c>
      <c r="H114" s="9">
        <f>INT(IF(AND('Lån Översikt'!$D$7="JA", 'Lån Översikt'!$D$11="JA", 'Lån Översikt'!$D$8="JA"), (G114*(('Lån Översikt'!$C$7/100*'Lån Översikt'!$C$11/100)-'Lån Översikt'!$C$8/100))/12, IF(AND('Lån Översikt'!$D$7="JA", 'Lån Översikt'!$D$11="JA", 'Lån Översikt'!$D$8="NEJ"), (G114*(('Lån Översikt'!$C$7/100*'Lån Översikt'!$C$11/100))/12), 0)))
</f>
        <v>7827</v>
      </c>
      <c r="I114" s="8">
        <f t="shared" si="2"/>
        <v>4712</v>
      </c>
      <c r="J114" s="8">
        <f>IF(AND(P114, O114), 0, IF(O114, INT((('Lån Översikt'!$C$5 * 1 / 100) / 12)), INT((('Lån Översikt'!$C$5 * 'Lån Översikt'!$C$15 / 100) / 12))))
</f>
        <v>6250</v>
      </c>
      <c r="K114" s="8">
        <f t="shared" si="3"/>
        <v>4166</v>
      </c>
      <c r="L114" s="8">
        <f t="shared" si="4"/>
        <v>22955</v>
      </c>
      <c r="M114" s="8">
        <f>(L114 + 'Lån Översikt'!$D$50)</f>
        <v>44904</v>
      </c>
      <c r="N114" s="8">
        <f>IF('Lån Översikt'!$D$22 = "JA", 
    IF(Q114 = TRUE, 'Lån Översikt'!$D$24 - M114, 'Lån Översikt'!$D$24 - M114 + 18300), 
    'Lån Översikt'!$D$24 - M114)
</f>
        <v>4896</v>
      </c>
      <c r="O114" s="25" t="b">
        <f t="shared" si="5"/>
        <v>0</v>
      </c>
      <c r="P114" s="26" t="b">
        <f t="shared" si="6"/>
        <v>0</v>
      </c>
      <c r="Q114" s="27" t="b">
        <f t="shared" si="8"/>
        <v>0</v>
      </c>
    </row>
    <row r="115">
      <c r="F115" s="8">
        <v>112.0</v>
      </c>
      <c r="G115" s="11">
        <f t="shared" si="1"/>
        <v>3056250</v>
      </c>
      <c r="H115" s="9">
        <f>INT(IF(AND('Lån Översikt'!$D$7="JA", 'Lån Översikt'!$D$11="JA", 'Lån Översikt'!$D$8="JA"), (G115*(('Lån Översikt'!$C$7/100*'Lån Översikt'!$C$11/100)-'Lån Översikt'!$C$8/100))/12, IF(AND('Lån Översikt'!$D$7="JA", 'Lån Översikt'!$D$11="JA", 'Lån Översikt'!$D$8="NEJ"), (G115*(('Lån Översikt'!$C$7/100*'Lån Översikt'!$C$11/100))/12), 0)))
</f>
        <v>7811</v>
      </c>
      <c r="I115" s="8">
        <f t="shared" si="2"/>
        <v>4712</v>
      </c>
      <c r="J115" s="8">
        <f>IF(AND(P115, O115), 0, IF(O115, INT((('Lån Översikt'!$C$5 * 1 / 100) / 12)), INT((('Lån Översikt'!$C$5 * 'Lån Översikt'!$C$15 / 100) / 12))))
</f>
        <v>6250</v>
      </c>
      <c r="K115" s="8">
        <f t="shared" si="3"/>
        <v>4166</v>
      </c>
      <c r="L115" s="8">
        <f t="shared" si="4"/>
        <v>22939</v>
      </c>
      <c r="M115" s="8">
        <f>(L115 + 'Lån Översikt'!$D$50)</f>
        <v>44888</v>
      </c>
      <c r="N115" s="8">
        <f>IF('Lån Översikt'!$D$22 = "JA", 
    IF(Q115 = TRUE, 'Lån Översikt'!$D$24 - M115, 'Lån Översikt'!$D$24 - M115 + 18300), 
    'Lån Översikt'!$D$24 - M115)
</f>
        <v>4912</v>
      </c>
      <c r="O115" s="25" t="b">
        <f t="shared" si="5"/>
        <v>0</v>
      </c>
      <c r="P115" s="26" t="b">
        <f t="shared" si="6"/>
        <v>0</v>
      </c>
      <c r="Q115" s="27" t="b">
        <f t="shared" si="8"/>
        <v>0</v>
      </c>
    </row>
    <row r="116">
      <c r="F116" s="8">
        <v>113.0</v>
      </c>
      <c r="G116" s="11">
        <f t="shared" si="1"/>
        <v>3050000</v>
      </c>
      <c r="H116" s="9">
        <f>INT(IF(AND('Lån Översikt'!$D$7="JA", 'Lån Översikt'!$D$11="JA", 'Lån Översikt'!$D$8="JA"), (G116*(('Lån Översikt'!$C$7/100*'Lån Översikt'!$C$11/100)-'Lån Översikt'!$C$8/100))/12, IF(AND('Lån Översikt'!$D$7="JA", 'Lån Översikt'!$D$11="JA", 'Lån Översikt'!$D$8="NEJ"), (G116*(('Lån Översikt'!$C$7/100*'Lån Översikt'!$C$11/100))/12), 0)))
</f>
        <v>7795</v>
      </c>
      <c r="I116" s="8">
        <f t="shared" si="2"/>
        <v>4712</v>
      </c>
      <c r="J116" s="8">
        <f>IF(AND(P116, O116), 0, IF(O116, INT((('Lån Översikt'!$C$5 * 1 / 100) / 12)), INT((('Lån Översikt'!$C$5 * 'Lån Översikt'!$C$15 / 100) / 12))))
</f>
        <v>6250</v>
      </c>
      <c r="K116" s="8">
        <f t="shared" si="3"/>
        <v>4166</v>
      </c>
      <c r="L116" s="8">
        <f t="shared" si="4"/>
        <v>22923</v>
      </c>
      <c r="M116" s="8">
        <f>(L116 + 'Lån Översikt'!$D$50)</f>
        <v>44872</v>
      </c>
      <c r="N116" s="8">
        <f>IF('Lån Översikt'!$D$22 = "JA", 
    IF(Q116 = TRUE, 'Lån Översikt'!$D$24 - M116, 'Lån Översikt'!$D$24 - M116 + 18300), 
    'Lån Översikt'!$D$24 - M116)
</f>
        <v>4928</v>
      </c>
      <c r="O116" s="25" t="b">
        <f t="shared" si="5"/>
        <v>0</v>
      </c>
      <c r="P116" s="26" t="b">
        <f t="shared" si="6"/>
        <v>0</v>
      </c>
      <c r="Q116" s="27" t="b">
        <f t="shared" si="8"/>
        <v>0</v>
      </c>
    </row>
    <row r="117">
      <c r="F117" s="8">
        <v>114.0</v>
      </c>
      <c r="G117" s="11">
        <f t="shared" si="1"/>
        <v>3043750</v>
      </c>
      <c r="H117" s="9">
        <f>INT(IF(AND('Lån Översikt'!$D$7="JA", 'Lån Översikt'!$D$11="JA", 'Lån Översikt'!$D$8="JA"), (G117*(('Lån Översikt'!$C$7/100*'Lån Översikt'!$C$11/100)-'Lån Översikt'!$C$8/100))/12, IF(AND('Lån Översikt'!$D$7="JA", 'Lån Översikt'!$D$11="JA", 'Lån Översikt'!$D$8="NEJ"), (G117*(('Lån Översikt'!$C$7/100*'Lån Översikt'!$C$11/100))/12), 0)))
</f>
        <v>7779</v>
      </c>
      <c r="I117" s="8">
        <f t="shared" si="2"/>
        <v>4712</v>
      </c>
      <c r="J117" s="8">
        <f>IF(AND(P117, O117), 0, IF(O117, INT((('Lån Översikt'!$C$5 * 1 / 100) / 12)), INT((('Lån Översikt'!$C$5 * 'Lån Översikt'!$C$15 / 100) / 12))))
</f>
        <v>6250</v>
      </c>
      <c r="K117" s="8">
        <f t="shared" si="3"/>
        <v>4166</v>
      </c>
      <c r="L117" s="8">
        <f t="shared" si="4"/>
        <v>22907</v>
      </c>
      <c r="M117" s="8">
        <f>(L117 + 'Lån Översikt'!$D$50)</f>
        <v>44856</v>
      </c>
      <c r="N117" s="8">
        <f>IF('Lån Översikt'!$D$22 = "JA", 
    IF(Q117 = TRUE, 'Lån Översikt'!$D$24 - M117, 'Lån Översikt'!$D$24 - M117 + 18300), 
    'Lån Översikt'!$D$24 - M117)
</f>
        <v>4944</v>
      </c>
      <c r="O117" s="25" t="b">
        <f t="shared" si="5"/>
        <v>0</v>
      </c>
      <c r="P117" s="26" t="b">
        <f t="shared" si="6"/>
        <v>0</v>
      </c>
      <c r="Q117" s="27" t="b">
        <f t="shared" si="8"/>
        <v>0</v>
      </c>
    </row>
    <row r="118">
      <c r="F118" s="8">
        <v>115.0</v>
      </c>
      <c r="G118" s="11">
        <f t="shared" si="1"/>
        <v>3037500</v>
      </c>
      <c r="H118" s="9">
        <f>INT(IF(AND('Lån Översikt'!$D$7="JA", 'Lån Översikt'!$D$11="JA", 'Lån Översikt'!$D$8="JA"), (G118*(('Lån Översikt'!$C$7/100*'Lån Översikt'!$C$11/100)-'Lån Översikt'!$C$8/100))/12, IF(AND('Lån Översikt'!$D$7="JA", 'Lån Översikt'!$D$11="JA", 'Lån Översikt'!$D$8="NEJ"), (G118*(('Lån Översikt'!$C$7/100*'Lån Översikt'!$C$11/100))/12), 0)))
</f>
        <v>7763</v>
      </c>
      <c r="I118" s="8">
        <f t="shared" si="2"/>
        <v>4712</v>
      </c>
      <c r="J118" s="8">
        <f>IF(AND(P118, O118), 0, IF(O118, INT((('Lån Översikt'!$C$5 * 1 / 100) / 12)), INT((('Lån Översikt'!$C$5 * 'Lån Översikt'!$C$15 / 100) / 12))))
</f>
        <v>6250</v>
      </c>
      <c r="K118" s="8">
        <f t="shared" si="3"/>
        <v>4166</v>
      </c>
      <c r="L118" s="8">
        <f t="shared" si="4"/>
        <v>22891</v>
      </c>
      <c r="M118" s="8">
        <f>(L118 + 'Lån Översikt'!$D$50)</f>
        <v>44840</v>
      </c>
      <c r="N118" s="8">
        <f>IF('Lån Översikt'!$D$22 = "JA", 
    IF(Q118 = TRUE, 'Lån Översikt'!$D$24 - M118, 'Lån Översikt'!$D$24 - M118 + 18300), 
    'Lån Översikt'!$D$24 - M118)
</f>
        <v>4960</v>
      </c>
      <c r="O118" s="25" t="b">
        <f t="shared" si="5"/>
        <v>0</v>
      </c>
      <c r="P118" s="26" t="b">
        <f t="shared" si="6"/>
        <v>0</v>
      </c>
      <c r="Q118" s="27" t="b">
        <f t="shared" si="8"/>
        <v>0</v>
      </c>
    </row>
    <row r="119">
      <c r="F119" s="8">
        <v>116.0</v>
      </c>
      <c r="G119" s="11">
        <f t="shared" si="1"/>
        <v>3031250</v>
      </c>
      <c r="H119" s="9">
        <f>INT(IF(AND('Lån Översikt'!$D$7="JA", 'Lån Översikt'!$D$11="JA", 'Lån Översikt'!$D$8="JA"), (G119*(('Lån Översikt'!$C$7/100*'Lån Översikt'!$C$11/100)-'Lån Översikt'!$C$8/100))/12, IF(AND('Lån Översikt'!$D$7="JA", 'Lån Översikt'!$D$11="JA", 'Lån Översikt'!$D$8="NEJ"), (G119*(('Lån Översikt'!$C$7/100*'Lån Översikt'!$C$11/100))/12), 0)))
</f>
        <v>7747</v>
      </c>
      <c r="I119" s="8">
        <f t="shared" si="2"/>
        <v>4712</v>
      </c>
      <c r="J119" s="8">
        <f>IF(AND(P119, O119), 0, IF(O119, INT((('Lån Översikt'!$C$5 * 1 / 100) / 12)), INT((('Lån Översikt'!$C$5 * 'Lån Översikt'!$C$15 / 100) / 12))))
</f>
        <v>6250</v>
      </c>
      <c r="K119" s="8">
        <f t="shared" si="3"/>
        <v>4166</v>
      </c>
      <c r="L119" s="8">
        <f t="shared" si="4"/>
        <v>22875</v>
      </c>
      <c r="M119" s="8">
        <f>(L119 + 'Lån Översikt'!$D$50)</f>
        <v>44824</v>
      </c>
      <c r="N119" s="8">
        <f>IF('Lån Översikt'!$D$22 = "JA", 
    IF(Q119 = TRUE, 'Lån Översikt'!$D$24 - M119, 'Lån Översikt'!$D$24 - M119 + 18300), 
    'Lån Översikt'!$D$24 - M119)
</f>
        <v>4976</v>
      </c>
      <c r="O119" s="25" t="b">
        <f t="shared" si="5"/>
        <v>0</v>
      </c>
      <c r="P119" s="26" t="b">
        <f t="shared" si="6"/>
        <v>0</v>
      </c>
      <c r="Q119" s="27" t="b">
        <f t="shared" si="8"/>
        <v>0</v>
      </c>
    </row>
    <row r="120">
      <c r="F120" s="8">
        <v>117.0</v>
      </c>
      <c r="G120" s="11">
        <f t="shared" si="1"/>
        <v>3025000</v>
      </c>
      <c r="H120" s="9">
        <f>INT(IF(AND('Lån Översikt'!$D$7="JA", 'Lån Översikt'!$D$11="JA", 'Lån Översikt'!$D$8="JA"), (G120*(('Lån Översikt'!$C$7/100*'Lån Översikt'!$C$11/100)-'Lån Översikt'!$C$8/100))/12, IF(AND('Lån Översikt'!$D$7="JA", 'Lån Översikt'!$D$11="JA", 'Lån Översikt'!$D$8="NEJ"), (G120*(('Lån Översikt'!$C$7/100*'Lån Översikt'!$C$11/100))/12), 0)))
</f>
        <v>7731</v>
      </c>
      <c r="I120" s="8">
        <f t="shared" si="2"/>
        <v>4712</v>
      </c>
      <c r="J120" s="8">
        <f>IF(AND(P120, O120), 0, IF(O120, INT((('Lån Översikt'!$C$5 * 1 / 100) / 12)), INT((('Lån Översikt'!$C$5 * 'Lån Översikt'!$C$15 / 100) / 12))))
</f>
        <v>6250</v>
      </c>
      <c r="K120" s="8">
        <f t="shared" si="3"/>
        <v>4166</v>
      </c>
      <c r="L120" s="8">
        <f t="shared" si="4"/>
        <v>22859</v>
      </c>
      <c r="M120" s="8">
        <f>(L120 + 'Lån Översikt'!$D$50)</f>
        <v>44808</v>
      </c>
      <c r="N120" s="8">
        <f>IF('Lån Översikt'!$D$22 = "JA", 
    IF(Q120 = TRUE, 'Lån Översikt'!$D$24 - M120, 'Lån Översikt'!$D$24 - M120 + 18300), 
    'Lån Översikt'!$D$24 - M120)
</f>
        <v>4992</v>
      </c>
      <c r="O120" s="25" t="b">
        <f t="shared" si="5"/>
        <v>0</v>
      </c>
      <c r="P120" s="26" t="b">
        <f t="shared" si="6"/>
        <v>0</v>
      </c>
      <c r="Q120" s="27" t="b">
        <f t="shared" si="8"/>
        <v>0</v>
      </c>
    </row>
    <row r="121">
      <c r="F121" s="8">
        <v>118.0</v>
      </c>
      <c r="G121" s="11">
        <f t="shared" si="1"/>
        <v>3018750</v>
      </c>
      <c r="H121" s="9">
        <f>INT(IF(AND('Lån Översikt'!$D$7="JA", 'Lån Översikt'!$D$11="JA", 'Lån Översikt'!$D$8="JA"), (G121*(('Lån Översikt'!$C$7/100*'Lån Översikt'!$C$11/100)-'Lån Översikt'!$C$8/100))/12, IF(AND('Lån Översikt'!$D$7="JA", 'Lån Översikt'!$D$11="JA", 'Lån Översikt'!$D$8="NEJ"), (G121*(('Lån Översikt'!$C$7/100*'Lån Översikt'!$C$11/100))/12), 0)))
</f>
        <v>7715</v>
      </c>
      <c r="I121" s="8">
        <f t="shared" si="2"/>
        <v>4712</v>
      </c>
      <c r="J121" s="8">
        <f>IF(AND(P121, O121), 0, IF(O121, INT((('Lån Översikt'!$C$5 * 1 / 100) / 12)), INT((('Lån Översikt'!$C$5 * 'Lån Översikt'!$C$15 / 100) / 12))))
</f>
        <v>6250</v>
      </c>
      <c r="K121" s="8">
        <f t="shared" si="3"/>
        <v>4166</v>
      </c>
      <c r="L121" s="8">
        <f t="shared" si="4"/>
        <v>22843</v>
      </c>
      <c r="M121" s="8">
        <f>(L121 + 'Lån Översikt'!$D$50)</f>
        <v>44792</v>
      </c>
      <c r="N121" s="8">
        <f>IF('Lån Översikt'!$D$22 = "JA", 
    IF(Q121 = TRUE, 'Lån Översikt'!$D$24 - M121, 'Lån Översikt'!$D$24 - M121 + 18300), 
    'Lån Översikt'!$D$24 - M121)
</f>
        <v>5008</v>
      </c>
      <c r="O121" s="25" t="b">
        <f t="shared" si="5"/>
        <v>0</v>
      </c>
      <c r="P121" s="26" t="b">
        <f t="shared" si="6"/>
        <v>0</v>
      </c>
      <c r="Q121" s="27" t="b">
        <f t="shared" si="8"/>
        <v>0</v>
      </c>
    </row>
    <row r="122">
      <c r="F122" s="8">
        <v>119.0</v>
      </c>
      <c r="G122" s="11">
        <f t="shared" si="1"/>
        <v>3012500</v>
      </c>
      <c r="H122" s="9">
        <f>INT(IF(AND('Lån Översikt'!$D$7="JA", 'Lån Översikt'!$D$11="JA", 'Lån Översikt'!$D$8="JA"), (G122*(('Lån Översikt'!$C$7/100*'Lån Översikt'!$C$11/100)-'Lån Översikt'!$C$8/100))/12, IF(AND('Lån Översikt'!$D$7="JA", 'Lån Översikt'!$D$11="JA", 'Lån Översikt'!$D$8="NEJ"), (G122*(('Lån Översikt'!$C$7/100*'Lån Översikt'!$C$11/100))/12), 0)))
</f>
        <v>7699</v>
      </c>
      <c r="I122" s="8">
        <f t="shared" si="2"/>
        <v>4712</v>
      </c>
      <c r="J122" s="8">
        <f>IF(AND(P122, O122), 0, IF(O122, INT((('Lån Översikt'!$C$5 * 1 / 100) / 12)), INT((('Lån Översikt'!$C$5 * 'Lån Översikt'!$C$15 / 100) / 12))))
</f>
        <v>6250</v>
      </c>
      <c r="K122" s="8">
        <f t="shared" si="3"/>
        <v>4166</v>
      </c>
      <c r="L122" s="8">
        <f t="shared" si="4"/>
        <v>22827</v>
      </c>
      <c r="M122" s="8">
        <f>(L122 + 'Lån Översikt'!$D$50)</f>
        <v>44776</v>
      </c>
      <c r="N122" s="8">
        <f>IF('Lån Översikt'!$D$22 = "JA", 
    IF(Q122 = TRUE, 'Lån Översikt'!$D$24 - M122, 'Lån Översikt'!$D$24 - M122 + 18300), 
    'Lån Översikt'!$D$24 - M122)
</f>
        <v>5024</v>
      </c>
      <c r="O122" s="25" t="b">
        <f t="shared" si="5"/>
        <v>0</v>
      </c>
      <c r="P122" s="26" t="b">
        <f t="shared" si="6"/>
        <v>0</v>
      </c>
      <c r="Q122" s="27" t="b">
        <f t="shared" si="8"/>
        <v>0</v>
      </c>
    </row>
    <row r="123">
      <c r="F123" s="8">
        <v>120.0</v>
      </c>
      <c r="G123" s="11">
        <f t="shared" si="1"/>
        <v>3006250</v>
      </c>
      <c r="H123" s="9">
        <f>INT(IF(AND('Lån Översikt'!$D$7="JA", 'Lån Översikt'!$D$11="JA", 'Lån Översikt'!$D$8="JA"), (G123*(('Lån Översikt'!$C$7/100*'Lån Översikt'!$C$11/100)-'Lån Översikt'!$C$8/100))/12, IF(AND('Lån Översikt'!$D$7="JA", 'Lån Översikt'!$D$11="JA", 'Lån Översikt'!$D$8="NEJ"), (G123*(('Lån Översikt'!$C$7/100*'Lån Översikt'!$C$11/100))/12), 0)))
</f>
        <v>7683</v>
      </c>
      <c r="I123" s="8">
        <f t="shared" si="2"/>
        <v>4712</v>
      </c>
      <c r="J123" s="8">
        <f>IF(AND(P123, O123), 0, IF(O123, INT((('Lån Översikt'!$C$5 * 1 / 100) / 12)), INT((('Lån Översikt'!$C$5 * 'Lån Översikt'!$C$15 / 100) / 12))))
</f>
        <v>6250</v>
      </c>
      <c r="K123" s="8">
        <f t="shared" si="3"/>
        <v>4166</v>
      </c>
      <c r="L123" s="8">
        <f t="shared" si="4"/>
        <v>22811</v>
      </c>
      <c r="M123" s="8">
        <f>(L123 + 'Lån Översikt'!$D$50)</f>
        <v>44760</v>
      </c>
      <c r="N123" s="8">
        <f>IF('Lån Översikt'!$D$22 = "JA", 
    IF(Q123 = TRUE, 'Lån Översikt'!$D$24 - M123, 'Lån Översikt'!$D$24 - M123 + 18300), 
    'Lån Översikt'!$D$24 - M123)
</f>
        <v>5040</v>
      </c>
      <c r="O123" s="25" t="b">
        <f t="shared" si="5"/>
        <v>0</v>
      </c>
      <c r="P123" s="26" t="b">
        <f t="shared" si="6"/>
        <v>0</v>
      </c>
      <c r="Q123" s="27" t="b">
        <f t="shared" si="8"/>
        <v>0</v>
      </c>
    </row>
    <row r="124">
      <c r="F124" s="8">
        <v>121.0</v>
      </c>
      <c r="G124" s="11">
        <f t="shared" si="1"/>
        <v>3000000</v>
      </c>
      <c r="H124" s="9">
        <f>INT(IF(AND('Lån Översikt'!$D$7="JA", 'Lån Översikt'!$D$11="JA", 'Lån Översikt'!$D$8="JA"), (G124*(('Lån Översikt'!$C$7/100*'Lån Översikt'!$C$11/100)-'Lån Översikt'!$C$8/100))/12, IF(AND('Lån Översikt'!$D$7="JA", 'Lån Översikt'!$D$11="JA", 'Lån Översikt'!$D$8="NEJ"), (G124*(('Lån Översikt'!$C$7/100*'Lån Översikt'!$C$11/100))/12), 0)))
</f>
        <v>7667</v>
      </c>
      <c r="I124" s="8">
        <f t="shared" si="2"/>
        <v>4712</v>
      </c>
      <c r="J124" s="8">
        <f>IF(AND(P124, O124), 0, IF(O124, INT((('Lån Översikt'!$C$5 * 1 / 100) / 12)), INT((('Lån Översikt'!$C$5 * 'Lån Översikt'!$C$15 / 100) / 12))))
</f>
        <v>6250</v>
      </c>
      <c r="K124" s="8">
        <f t="shared" si="3"/>
        <v>4166</v>
      </c>
      <c r="L124" s="8">
        <f t="shared" si="4"/>
        <v>22795</v>
      </c>
      <c r="M124" s="8">
        <f>(L124 + 'Lån Översikt'!$D$50)</f>
        <v>44744</v>
      </c>
      <c r="N124" s="8">
        <f>IF('Lån Översikt'!$D$22 = "JA", 
    IF(Q124 = TRUE, 'Lån Översikt'!$D$24 - M124, 'Lån Översikt'!$D$24 - M124 + 18300), 
    'Lån Översikt'!$D$24 - M124)
</f>
        <v>5056</v>
      </c>
      <c r="O124" s="25" t="b">
        <f t="shared" si="5"/>
        <v>0</v>
      </c>
      <c r="P124" s="26" t="b">
        <f t="shared" si="6"/>
        <v>0</v>
      </c>
      <c r="Q124" s="27" t="b">
        <f t="shared" si="8"/>
        <v>0</v>
      </c>
    </row>
    <row r="125">
      <c r="F125" s="8">
        <v>122.0</v>
      </c>
      <c r="G125" s="11">
        <f t="shared" si="1"/>
        <v>2993750</v>
      </c>
      <c r="H125" s="9">
        <f>INT(IF(AND('Lån Översikt'!$D$7="JA", 'Lån Översikt'!$D$11="JA", 'Lån Översikt'!$D$8="JA"), (G125*(('Lån Översikt'!$C$7/100*'Lån Översikt'!$C$11/100)-'Lån Översikt'!$C$8/100))/12, IF(AND('Lån Översikt'!$D$7="JA", 'Lån Översikt'!$D$11="JA", 'Lån Översikt'!$D$8="NEJ"), (G125*(('Lån Översikt'!$C$7/100*'Lån Översikt'!$C$11/100))/12), 0)))
</f>
        <v>7651</v>
      </c>
      <c r="I125" s="8">
        <f t="shared" si="2"/>
        <v>4712</v>
      </c>
      <c r="J125" s="8">
        <f>IF(AND(P125, O125), 0, IF(O125, INT((('Lån Översikt'!$C$5 * 1 / 100) / 12)), INT((('Lån Översikt'!$C$5 * 'Lån Översikt'!$C$15 / 100) / 12))))
</f>
        <v>6250</v>
      </c>
      <c r="K125" s="8">
        <f t="shared" si="3"/>
        <v>4166</v>
      </c>
      <c r="L125" s="8">
        <f t="shared" si="4"/>
        <v>22779</v>
      </c>
      <c r="M125" s="8">
        <f>(L125 + 'Lån Översikt'!$D$50)</f>
        <v>44728</v>
      </c>
      <c r="N125" s="8">
        <f>IF('Lån Översikt'!$D$22 = "JA", 
    IF(Q125 = TRUE, 'Lån Översikt'!$D$24 - M125, 'Lån Översikt'!$D$24 - M125 + 18300), 
    'Lån Översikt'!$D$24 - M125)
</f>
        <v>5072</v>
      </c>
      <c r="O125" s="25" t="b">
        <f t="shared" si="5"/>
        <v>0</v>
      </c>
      <c r="P125" s="26" t="b">
        <f t="shared" si="6"/>
        <v>0</v>
      </c>
      <c r="Q125" s="27" t="b">
        <f t="shared" si="8"/>
        <v>0</v>
      </c>
    </row>
    <row r="126">
      <c r="F126" s="8">
        <v>123.0</v>
      </c>
      <c r="G126" s="11">
        <f t="shared" si="1"/>
        <v>2987500</v>
      </c>
      <c r="H126" s="9">
        <f>INT(IF(AND('Lån Översikt'!$D$7="JA", 'Lån Översikt'!$D$11="JA", 'Lån Översikt'!$D$8="JA"), (G126*(('Lån Översikt'!$C$7/100*'Lån Översikt'!$C$11/100)-'Lån Översikt'!$C$8/100))/12, IF(AND('Lån Översikt'!$D$7="JA", 'Lån Översikt'!$D$11="JA", 'Lån Översikt'!$D$8="NEJ"), (G126*(('Lån Översikt'!$C$7/100*'Lån Översikt'!$C$11/100))/12), 0)))
</f>
        <v>7635</v>
      </c>
      <c r="I126" s="8">
        <f t="shared" si="2"/>
        <v>4712</v>
      </c>
      <c r="J126" s="8">
        <f>IF(AND(P126, O126), 0, IF(O126, INT((('Lån Översikt'!$C$5 * 1 / 100) / 12)), INT((('Lån Översikt'!$C$5 * 'Lån Översikt'!$C$15 / 100) / 12))))
</f>
        <v>6250</v>
      </c>
      <c r="K126" s="8">
        <f t="shared" si="3"/>
        <v>4166</v>
      </c>
      <c r="L126" s="8">
        <f t="shared" si="4"/>
        <v>22763</v>
      </c>
      <c r="M126" s="8">
        <f>(L126 + 'Lån Översikt'!$D$50)</f>
        <v>44712</v>
      </c>
      <c r="N126" s="8">
        <f>IF('Lån Översikt'!$D$22 = "JA", 
    IF(Q126 = TRUE, 'Lån Översikt'!$D$24 - M126, 'Lån Översikt'!$D$24 - M126 + 18300), 
    'Lån Översikt'!$D$24 - M126)
</f>
        <v>5088</v>
      </c>
      <c r="O126" s="25" t="b">
        <f t="shared" si="5"/>
        <v>0</v>
      </c>
      <c r="P126" s="26" t="b">
        <f t="shared" si="6"/>
        <v>0</v>
      </c>
      <c r="Q126" s="27" t="b">
        <f t="shared" si="8"/>
        <v>0</v>
      </c>
    </row>
    <row r="127">
      <c r="F127" s="8">
        <v>124.0</v>
      </c>
      <c r="G127" s="11">
        <f t="shared" si="1"/>
        <v>2981250</v>
      </c>
      <c r="H127" s="9">
        <f>INT(IF(AND('Lån Översikt'!$D$7="JA", 'Lån Översikt'!$D$11="JA", 'Lån Översikt'!$D$8="JA"), (G127*(('Lån Översikt'!$C$7/100*'Lån Översikt'!$C$11/100)-'Lån Översikt'!$C$8/100))/12, IF(AND('Lån Översikt'!$D$7="JA", 'Lån Översikt'!$D$11="JA", 'Lån Översikt'!$D$8="NEJ"), (G127*(('Lån Översikt'!$C$7/100*'Lån Översikt'!$C$11/100))/12), 0)))
</f>
        <v>7619</v>
      </c>
      <c r="I127" s="8">
        <f t="shared" si="2"/>
        <v>4712</v>
      </c>
      <c r="J127" s="8">
        <f>IF(AND(P127, O127), 0, IF(O127, INT((('Lån Översikt'!$C$5 * 1 / 100) / 12)), INT((('Lån Översikt'!$C$5 * 'Lån Översikt'!$C$15 / 100) / 12))))
</f>
        <v>6250</v>
      </c>
      <c r="K127" s="8">
        <f t="shared" si="3"/>
        <v>4166</v>
      </c>
      <c r="L127" s="8">
        <f t="shared" si="4"/>
        <v>22747</v>
      </c>
      <c r="M127" s="8">
        <f>(L127 + 'Lån Översikt'!$D$50)</f>
        <v>44696</v>
      </c>
      <c r="N127" s="8">
        <f>IF('Lån Översikt'!$D$22 = "JA", 
    IF(Q127 = TRUE, 'Lån Översikt'!$D$24 - M127, 'Lån Översikt'!$D$24 - M127 + 18300), 
    'Lån Översikt'!$D$24 - M127)
</f>
        <v>5104</v>
      </c>
      <c r="O127" s="25" t="b">
        <f t="shared" si="5"/>
        <v>0</v>
      </c>
      <c r="P127" s="26" t="b">
        <f t="shared" si="6"/>
        <v>0</v>
      </c>
      <c r="Q127" s="27" t="b">
        <f t="shared" si="8"/>
        <v>0</v>
      </c>
    </row>
    <row r="128">
      <c r="F128" s="8">
        <v>125.0</v>
      </c>
      <c r="G128" s="11">
        <f t="shared" si="1"/>
        <v>2975000</v>
      </c>
      <c r="H128" s="9">
        <f>INT(IF(AND('Lån Översikt'!$D$7="JA", 'Lån Översikt'!$D$11="JA", 'Lån Översikt'!$D$8="JA"), (G128*(('Lån Översikt'!$C$7/100*'Lån Översikt'!$C$11/100)-'Lån Översikt'!$C$8/100))/12, IF(AND('Lån Översikt'!$D$7="JA", 'Lån Översikt'!$D$11="JA", 'Lån Översikt'!$D$8="NEJ"), (G128*(('Lån Översikt'!$C$7/100*'Lån Översikt'!$C$11/100))/12), 0)))
</f>
        <v>7603</v>
      </c>
      <c r="I128" s="8">
        <f t="shared" si="2"/>
        <v>4712</v>
      </c>
      <c r="J128" s="8">
        <f>IF(AND(P128, O128), 0, IF(O128, INT((('Lån Översikt'!$C$5 * 1 / 100) / 12)), INT((('Lån Översikt'!$C$5 * 'Lån Översikt'!$C$15 / 100) / 12))))
</f>
        <v>6250</v>
      </c>
      <c r="K128" s="8">
        <f t="shared" si="3"/>
        <v>4166</v>
      </c>
      <c r="L128" s="8">
        <f t="shared" si="4"/>
        <v>22731</v>
      </c>
      <c r="M128" s="8">
        <f>(L128 + 'Lån Översikt'!$D$50)</f>
        <v>44680</v>
      </c>
      <c r="N128" s="8">
        <f>IF('Lån Översikt'!$D$22 = "JA", 
    IF(Q128 = TRUE, 'Lån Översikt'!$D$24 - M128, 'Lån Översikt'!$D$24 - M128 + 18300), 
    'Lån Översikt'!$D$24 - M128)
</f>
        <v>5120</v>
      </c>
      <c r="O128" s="25" t="b">
        <f t="shared" si="5"/>
        <v>0</v>
      </c>
      <c r="P128" s="26" t="b">
        <f t="shared" si="6"/>
        <v>0</v>
      </c>
      <c r="Q128" s="27" t="b">
        <f t="shared" si="8"/>
        <v>0</v>
      </c>
    </row>
    <row r="129">
      <c r="F129" s="8">
        <v>126.0</v>
      </c>
      <c r="G129" s="11">
        <f t="shared" si="1"/>
        <v>2968750</v>
      </c>
      <c r="H129" s="9">
        <f>INT(IF(AND('Lån Översikt'!$D$7="JA", 'Lån Översikt'!$D$11="JA", 'Lån Översikt'!$D$8="JA"), (G129*(('Lån Översikt'!$C$7/100*'Lån Översikt'!$C$11/100)-'Lån Översikt'!$C$8/100))/12, IF(AND('Lån Översikt'!$D$7="JA", 'Lån Översikt'!$D$11="JA", 'Lån Översikt'!$D$8="NEJ"), (G129*(('Lån Översikt'!$C$7/100*'Lån Översikt'!$C$11/100))/12), 0)))
</f>
        <v>7587</v>
      </c>
      <c r="I129" s="8">
        <f t="shared" si="2"/>
        <v>4712</v>
      </c>
      <c r="J129" s="8">
        <f>IF(AND(P129, O129), 0, IF(O129, INT((('Lån Översikt'!$C$5 * 1 / 100) / 12)), INT((('Lån Översikt'!$C$5 * 'Lån Översikt'!$C$15 / 100) / 12))))
</f>
        <v>6250</v>
      </c>
      <c r="K129" s="8">
        <f t="shared" si="3"/>
        <v>4166</v>
      </c>
      <c r="L129" s="8">
        <f t="shared" si="4"/>
        <v>22715</v>
      </c>
      <c r="M129" s="8">
        <f>(L129 + 'Lån Översikt'!$D$50)</f>
        <v>44664</v>
      </c>
      <c r="N129" s="8">
        <f>IF('Lån Översikt'!$D$22 = "JA", 
    IF(Q129 = TRUE, 'Lån Översikt'!$D$24 - M129, 'Lån Översikt'!$D$24 - M129 + 18300), 
    'Lån Översikt'!$D$24 - M129)
</f>
        <v>5136</v>
      </c>
      <c r="O129" s="25" t="b">
        <f t="shared" si="5"/>
        <v>0</v>
      </c>
      <c r="P129" s="26" t="b">
        <f t="shared" si="6"/>
        <v>0</v>
      </c>
      <c r="Q129" s="27" t="b">
        <f t="shared" si="8"/>
        <v>0</v>
      </c>
    </row>
    <row r="130">
      <c r="F130" s="8">
        <v>127.0</v>
      </c>
      <c r="G130" s="11">
        <f t="shared" si="1"/>
        <v>2962500</v>
      </c>
      <c r="H130" s="9">
        <f>INT(IF(AND('Lån Översikt'!$D$7="JA", 'Lån Översikt'!$D$11="JA", 'Lån Översikt'!$D$8="JA"), (G130*(('Lån Översikt'!$C$7/100*'Lån Översikt'!$C$11/100)-'Lån Översikt'!$C$8/100))/12, IF(AND('Lån Översikt'!$D$7="JA", 'Lån Översikt'!$D$11="JA", 'Lån Översikt'!$D$8="NEJ"), (G130*(('Lån Översikt'!$C$7/100*'Lån Översikt'!$C$11/100))/12), 0)))
</f>
        <v>7571</v>
      </c>
      <c r="I130" s="8">
        <f t="shared" si="2"/>
        <v>4712</v>
      </c>
      <c r="J130" s="8">
        <f>IF(AND(P130, O130), 0, IF(O130, INT((('Lån Översikt'!$C$5 * 1 / 100) / 12)), INT((('Lån Översikt'!$C$5 * 'Lån Översikt'!$C$15 / 100) / 12))))
</f>
        <v>6250</v>
      </c>
      <c r="K130" s="8">
        <f t="shared" si="3"/>
        <v>4166</v>
      </c>
      <c r="L130" s="8">
        <f t="shared" si="4"/>
        <v>22699</v>
      </c>
      <c r="M130" s="8">
        <f>(L130 + 'Lån Översikt'!$D$50)</f>
        <v>44648</v>
      </c>
      <c r="N130" s="8">
        <f>IF('Lån Översikt'!$D$22 = "JA", 
    IF(Q130 = TRUE, 'Lån Översikt'!$D$24 - M130, 'Lån Översikt'!$D$24 - M130 + 18300), 
    'Lån Översikt'!$D$24 - M130)
</f>
        <v>5152</v>
      </c>
      <c r="O130" s="25" t="b">
        <f t="shared" si="5"/>
        <v>0</v>
      </c>
      <c r="P130" s="26" t="b">
        <f t="shared" si="6"/>
        <v>0</v>
      </c>
      <c r="Q130" s="27" t="b">
        <f t="shared" si="8"/>
        <v>0</v>
      </c>
    </row>
    <row r="131">
      <c r="F131" s="8">
        <v>128.0</v>
      </c>
      <c r="G131" s="11">
        <f t="shared" si="1"/>
        <v>2956250</v>
      </c>
      <c r="H131" s="9">
        <f>INT(IF(AND('Lån Översikt'!$D$7="JA", 'Lån Översikt'!$D$11="JA", 'Lån Översikt'!$D$8="JA"), (G131*(('Lån Översikt'!$C$7/100*'Lån Översikt'!$C$11/100)-'Lån Översikt'!$C$8/100))/12, IF(AND('Lån Översikt'!$D$7="JA", 'Lån Översikt'!$D$11="JA", 'Lån Översikt'!$D$8="NEJ"), (G131*(('Lån Översikt'!$C$7/100*'Lån Översikt'!$C$11/100))/12), 0)))
</f>
        <v>7555</v>
      </c>
      <c r="I131" s="8">
        <f t="shared" si="2"/>
        <v>4712</v>
      </c>
      <c r="J131" s="8">
        <f>IF(AND(P131, O131), 0, IF(O131, INT((('Lån Översikt'!$C$5 * 1 / 100) / 12)), INT((('Lån Översikt'!$C$5 * 'Lån Översikt'!$C$15 / 100) / 12))))
</f>
        <v>6250</v>
      </c>
      <c r="K131" s="8">
        <f t="shared" si="3"/>
        <v>4166</v>
      </c>
      <c r="L131" s="8">
        <f t="shared" si="4"/>
        <v>22683</v>
      </c>
      <c r="M131" s="8">
        <f>(L131 + 'Lån Översikt'!$D$50)</f>
        <v>44632</v>
      </c>
      <c r="N131" s="8">
        <f>IF('Lån Översikt'!$D$22 = "JA", 
    IF(Q131 = TRUE, 'Lån Översikt'!$D$24 - M131, 'Lån Översikt'!$D$24 - M131 + 18300), 
    'Lån Översikt'!$D$24 - M131)
</f>
        <v>5168</v>
      </c>
      <c r="O131" s="25" t="b">
        <f t="shared" si="5"/>
        <v>0</v>
      </c>
      <c r="P131" s="26" t="b">
        <f t="shared" si="6"/>
        <v>0</v>
      </c>
      <c r="Q131" s="27" t="b">
        <f t="shared" si="8"/>
        <v>0</v>
      </c>
    </row>
    <row r="132">
      <c r="F132" s="8">
        <v>129.0</v>
      </c>
      <c r="G132" s="11">
        <f t="shared" si="1"/>
        <v>2950000</v>
      </c>
      <c r="H132" s="9">
        <f>INT(IF(AND('Lån Översikt'!$D$7="JA", 'Lån Översikt'!$D$11="JA", 'Lån Översikt'!$D$8="JA"), (G132*(('Lån Översikt'!$C$7/100*'Lån Översikt'!$C$11/100)-'Lån Översikt'!$C$8/100))/12, IF(AND('Lån Översikt'!$D$7="JA", 'Lån Översikt'!$D$11="JA", 'Lån Översikt'!$D$8="NEJ"), (G132*(('Lån Översikt'!$C$7/100*'Lån Översikt'!$C$11/100))/12), 0)))
</f>
        <v>7539</v>
      </c>
      <c r="I132" s="8">
        <f t="shared" si="2"/>
        <v>4712</v>
      </c>
      <c r="J132" s="8">
        <f>IF(AND(P132, O132), 0, IF(O132, INT((('Lån Översikt'!$C$5 * 1 / 100) / 12)), INT((('Lån Översikt'!$C$5 * 'Lån Översikt'!$C$15 / 100) / 12))))
</f>
        <v>6250</v>
      </c>
      <c r="K132" s="8">
        <f t="shared" si="3"/>
        <v>4166</v>
      </c>
      <c r="L132" s="8">
        <f t="shared" si="4"/>
        <v>22667</v>
      </c>
      <c r="M132" s="8">
        <f>(L132 + 'Lån Översikt'!$D$50)</f>
        <v>44616</v>
      </c>
      <c r="N132" s="8">
        <f>IF('Lån Översikt'!$D$22 = "JA", 
    IF(Q132 = TRUE, 'Lån Översikt'!$D$24 - M132, 'Lån Översikt'!$D$24 - M132 + 18300), 
    'Lån Översikt'!$D$24 - M132)
</f>
        <v>5184</v>
      </c>
      <c r="O132" s="25" t="b">
        <f t="shared" si="5"/>
        <v>0</v>
      </c>
      <c r="P132" s="26" t="b">
        <f t="shared" si="6"/>
        <v>0</v>
      </c>
      <c r="Q132" s="27" t="b">
        <f t="shared" si="8"/>
        <v>0</v>
      </c>
    </row>
    <row r="133">
      <c r="F133" s="8">
        <v>130.0</v>
      </c>
      <c r="G133" s="11">
        <f t="shared" si="1"/>
        <v>2943750</v>
      </c>
      <c r="H133" s="9">
        <f>INT(IF(AND('Lån Översikt'!$D$7="JA", 'Lån Översikt'!$D$11="JA", 'Lån Översikt'!$D$8="JA"), (G133*(('Lån Översikt'!$C$7/100*'Lån Översikt'!$C$11/100)-'Lån Översikt'!$C$8/100))/12, IF(AND('Lån Översikt'!$D$7="JA", 'Lån Översikt'!$D$11="JA", 'Lån Översikt'!$D$8="NEJ"), (G133*(('Lån Översikt'!$C$7/100*'Lån Översikt'!$C$11/100))/12), 0)))
</f>
        <v>7523</v>
      </c>
      <c r="I133" s="8">
        <f t="shared" si="2"/>
        <v>4712</v>
      </c>
      <c r="J133" s="8">
        <f>IF(AND(P133, O133), 0, IF(O133, INT((('Lån Översikt'!$C$5 * 1 / 100) / 12)), INT((('Lån Översikt'!$C$5 * 'Lån Översikt'!$C$15 / 100) / 12))))
</f>
        <v>6250</v>
      </c>
      <c r="K133" s="8">
        <f t="shared" si="3"/>
        <v>4166</v>
      </c>
      <c r="L133" s="8">
        <f t="shared" si="4"/>
        <v>22651</v>
      </c>
      <c r="M133" s="8">
        <f>(L133 + 'Lån Översikt'!$D$50)</f>
        <v>44600</v>
      </c>
      <c r="N133" s="8">
        <f>IF('Lån Översikt'!$D$22 = "JA", 
    IF(Q133 = TRUE, 'Lån Översikt'!$D$24 - M133, 'Lån Översikt'!$D$24 - M133 + 18300), 
    'Lån Översikt'!$D$24 - M133)
</f>
        <v>5200</v>
      </c>
      <c r="O133" s="25" t="b">
        <f t="shared" si="5"/>
        <v>0</v>
      </c>
      <c r="P133" s="26" t="b">
        <f t="shared" si="6"/>
        <v>0</v>
      </c>
      <c r="Q133" s="27" t="b">
        <f t="shared" si="8"/>
        <v>0</v>
      </c>
    </row>
    <row r="134">
      <c r="F134" s="8">
        <v>131.0</v>
      </c>
      <c r="G134" s="11">
        <f t="shared" si="1"/>
        <v>2937500</v>
      </c>
      <c r="H134" s="9">
        <f>INT(IF(AND('Lån Översikt'!$D$7="JA", 'Lån Översikt'!$D$11="JA", 'Lån Översikt'!$D$8="JA"), (G134*(('Lån Översikt'!$C$7/100*'Lån Översikt'!$C$11/100)-'Lån Översikt'!$C$8/100))/12, IF(AND('Lån Översikt'!$D$7="JA", 'Lån Översikt'!$D$11="JA", 'Lån Översikt'!$D$8="NEJ"), (G134*(('Lån Översikt'!$C$7/100*'Lån Översikt'!$C$11/100))/12), 0)))
</f>
        <v>7507</v>
      </c>
      <c r="I134" s="8">
        <f t="shared" si="2"/>
        <v>4712</v>
      </c>
      <c r="J134" s="8">
        <f>IF(AND(P134, O134), 0, IF(O134, INT((('Lån Översikt'!$C$5 * 1 / 100) / 12)), INT((('Lån Översikt'!$C$5 * 'Lån Översikt'!$C$15 / 100) / 12))))
</f>
        <v>6250</v>
      </c>
      <c r="K134" s="8">
        <f t="shared" si="3"/>
        <v>4166</v>
      </c>
      <c r="L134" s="8">
        <f t="shared" si="4"/>
        <v>22635</v>
      </c>
      <c r="M134" s="8">
        <f>(L134 + 'Lån Översikt'!$D$50)</f>
        <v>44584</v>
      </c>
      <c r="N134" s="8">
        <f>IF('Lån Översikt'!$D$22 = "JA", 
    IF(Q134 = TRUE, 'Lån Översikt'!$D$24 - M134, 'Lån Översikt'!$D$24 - M134 + 18300), 
    'Lån Översikt'!$D$24 - M134)
</f>
        <v>5216</v>
      </c>
      <c r="O134" s="25" t="b">
        <f t="shared" si="5"/>
        <v>0</v>
      </c>
      <c r="P134" s="26" t="b">
        <f t="shared" si="6"/>
        <v>0</v>
      </c>
      <c r="Q134" s="27" t="b">
        <f t="shared" si="8"/>
        <v>0</v>
      </c>
    </row>
    <row r="135">
      <c r="F135" s="8">
        <v>132.0</v>
      </c>
      <c r="G135" s="11">
        <f t="shared" si="1"/>
        <v>2931250</v>
      </c>
      <c r="H135" s="9">
        <f>INT(IF(AND('Lån Översikt'!$D$7="JA", 'Lån Översikt'!$D$11="JA", 'Lån Översikt'!$D$8="JA"), (G135*(('Lån Översikt'!$C$7/100*'Lån Översikt'!$C$11/100)-'Lån Översikt'!$C$8/100))/12, IF(AND('Lån Översikt'!$D$7="JA", 'Lån Översikt'!$D$11="JA", 'Lån Översikt'!$D$8="NEJ"), (G135*(('Lån Översikt'!$C$7/100*'Lån Översikt'!$C$11/100))/12), 0)))
</f>
        <v>7491</v>
      </c>
      <c r="I135" s="8">
        <f t="shared" si="2"/>
        <v>4712</v>
      </c>
      <c r="J135" s="8">
        <f>IF(AND(P135, O135), 0, IF(O135, INT((('Lån Översikt'!$C$5 * 1 / 100) / 12)), INT((('Lån Översikt'!$C$5 * 'Lån Översikt'!$C$15 / 100) / 12))))
</f>
        <v>6250</v>
      </c>
      <c r="K135" s="8">
        <f t="shared" si="3"/>
        <v>4166</v>
      </c>
      <c r="L135" s="8">
        <f t="shared" si="4"/>
        <v>22619</v>
      </c>
      <c r="M135" s="8">
        <f>(L135 + 'Lån Översikt'!$D$50)</f>
        <v>44568</v>
      </c>
      <c r="N135" s="8">
        <f>IF('Lån Översikt'!$D$22 = "JA", 
    IF(Q135 = TRUE, 'Lån Översikt'!$D$24 - M135, 'Lån Översikt'!$D$24 - M135 + 18300), 
    'Lån Översikt'!$D$24 - M135)
</f>
        <v>5232</v>
      </c>
      <c r="O135" s="25" t="b">
        <f t="shared" si="5"/>
        <v>0</v>
      </c>
      <c r="P135" s="26" t="b">
        <f t="shared" si="6"/>
        <v>0</v>
      </c>
      <c r="Q135" s="27" t="b">
        <f t="shared" si="8"/>
        <v>0</v>
      </c>
    </row>
    <row r="136">
      <c r="F136" s="8">
        <v>133.0</v>
      </c>
      <c r="G136" s="11">
        <f t="shared" si="1"/>
        <v>2925000</v>
      </c>
      <c r="H136" s="9">
        <f>INT(IF(AND('Lån Översikt'!$D$7="JA", 'Lån Översikt'!$D$11="JA", 'Lån Översikt'!$D$8="JA"), (G136*(('Lån Översikt'!$C$7/100*'Lån Översikt'!$C$11/100)-'Lån Översikt'!$C$8/100))/12, IF(AND('Lån Översikt'!$D$7="JA", 'Lån Översikt'!$D$11="JA", 'Lån Översikt'!$D$8="NEJ"), (G136*(('Lån Översikt'!$C$7/100*'Lån Översikt'!$C$11/100))/12), 0)))
</f>
        <v>7475</v>
      </c>
      <c r="I136" s="8">
        <f t="shared" si="2"/>
        <v>4712</v>
      </c>
      <c r="J136" s="8">
        <f>IF(AND(P136, O136), 0, IF(O136, INT((('Lån Översikt'!$C$5 * 1 / 100) / 12)), INT((('Lån Översikt'!$C$5 * 'Lån Översikt'!$C$15 / 100) / 12))))
</f>
        <v>6250</v>
      </c>
      <c r="K136" s="8">
        <f t="shared" si="3"/>
        <v>4166</v>
      </c>
      <c r="L136" s="8">
        <f t="shared" si="4"/>
        <v>22603</v>
      </c>
      <c r="M136" s="8">
        <f>(L136 + 'Lån Översikt'!$D$50)</f>
        <v>44552</v>
      </c>
      <c r="N136" s="8">
        <f>IF('Lån Översikt'!$D$22 = "JA", 
    IF(Q136 = TRUE, 'Lån Översikt'!$D$24 - M136, 'Lån Översikt'!$D$24 - M136 + 18300), 
    'Lån Översikt'!$D$24 - M136)
</f>
        <v>5248</v>
      </c>
      <c r="O136" s="25" t="b">
        <f t="shared" si="5"/>
        <v>0</v>
      </c>
      <c r="P136" s="26" t="b">
        <f t="shared" si="6"/>
        <v>0</v>
      </c>
      <c r="Q136" s="27" t="b">
        <f t="shared" si="8"/>
        <v>0</v>
      </c>
    </row>
    <row r="137">
      <c r="F137" s="8">
        <v>134.0</v>
      </c>
      <c r="G137" s="11">
        <f t="shared" si="1"/>
        <v>2918750</v>
      </c>
      <c r="H137" s="9">
        <f>INT(IF(AND('Lån Översikt'!$D$7="JA", 'Lån Översikt'!$D$11="JA", 'Lån Översikt'!$D$8="JA"), (G137*(('Lån Översikt'!$C$7/100*'Lån Översikt'!$C$11/100)-'Lån Översikt'!$C$8/100))/12, IF(AND('Lån Översikt'!$D$7="JA", 'Lån Översikt'!$D$11="JA", 'Lån Översikt'!$D$8="NEJ"), (G137*(('Lån Översikt'!$C$7/100*'Lån Översikt'!$C$11/100))/12), 0)))
</f>
        <v>7459</v>
      </c>
      <c r="I137" s="8">
        <f t="shared" si="2"/>
        <v>4712</v>
      </c>
      <c r="J137" s="8">
        <f>IF(AND(P137, O137), 0, IF(O137, INT((('Lån Översikt'!$C$5 * 1 / 100) / 12)), INT((('Lån Översikt'!$C$5 * 'Lån Översikt'!$C$15 / 100) / 12))))
</f>
        <v>6250</v>
      </c>
      <c r="K137" s="8">
        <f t="shared" si="3"/>
        <v>4166</v>
      </c>
      <c r="L137" s="8">
        <f t="shared" si="4"/>
        <v>22587</v>
      </c>
      <c r="M137" s="8">
        <f>(L137 + 'Lån Översikt'!$D$50)</f>
        <v>44536</v>
      </c>
      <c r="N137" s="8">
        <f>IF('Lån Översikt'!$D$22 = "JA", 
    IF(Q137 = TRUE, 'Lån Översikt'!$D$24 - M137, 'Lån Översikt'!$D$24 - M137 + 18300), 
    'Lån Översikt'!$D$24 - M137)
</f>
        <v>5264</v>
      </c>
      <c r="O137" s="25" t="b">
        <f t="shared" si="5"/>
        <v>0</v>
      </c>
      <c r="P137" s="26" t="b">
        <f t="shared" si="6"/>
        <v>0</v>
      </c>
      <c r="Q137" s="27" t="b">
        <f t="shared" si="8"/>
        <v>0</v>
      </c>
    </row>
    <row r="138">
      <c r="F138" s="8">
        <v>135.0</v>
      </c>
      <c r="G138" s="11">
        <f t="shared" si="1"/>
        <v>2912500</v>
      </c>
      <c r="H138" s="9">
        <f>INT(IF(AND('Lån Översikt'!$D$7="JA", 'Lån Översikt'!$D$11="JA", 'Lån Översikt'!$D$8="JA"), (G138*(('Lån Översikt'!$C$7/100*'Lån Översikt'!$C$11/100)-'Lån Översikt'!$C$8/100))/12, IF(AND('Lån Översikt'!$D$7="JA", 'Lån Översikt'!$D$11="JA", 'Lån Översikt'!$D$8="NEJ"), (G138*(('Lån Översikt'!$C$7/100*'Lån Översikt'!$C$11/100))/12), 0)))
</f>
        <v>7443</v>
      </c>
      <c r="I138" s="8">
        <f t="shared" si="2"/>
        <v>4712</v>
      </c>
      <c r="J138" s="8">
        <f>IF(AND(P138, O138), 0, IF(O138, INT((('Lån Översikt'!$C$5 * 1 / 100) / 12)), INT((('Lån Översikt'!$C$5 * 'Lån Översikt'!$C$15 / 100) / 12))))
</f>
        <v>6250</v>
      </c>
      <c r="K138" s="8">
        <f t="shared" si="3"/>
        <v>4166</v>
      </c>
      <c r="L138" s="8">
        <f t="shared" si="4"/>
        <v>22571</v>
      </c>
      <c r="M138" s="8">
        <f>(L138 + 'Lån Översikt'!$D$50)</f>
        <v>44520</v>
      </c>
      <c r="N138" s="8">
        <f>IF('Lån Översikt'!$D$22 = "JA", 
    IF(Q138 = TRUE, 'Lån Översikt'!$D$24 - M138, 'Lån Översikt'!$D$24 - M138 + 18300), 
    'Lån Översikt'!$D$24 - M138)
</f>
        <v>5280</v>
      </c>
      <c r="O138" s="25" t="b">
        <f t="shared" si="5"/>
        <v>0</v>
      </c>
      <c r="P138" s="26" t="b">
        <f t="shared" si="6"/>
        <v>0</v>
      </c>
      <c r="Q138" s="27" t="b">
        <f t="shared" si="8"/>
        <v>0</v>
      </c>
    </row>
    <row r="139">
      <c r="F139" s="8">
        <v>136.0</v>
      </c>
      <c r="G139" s="11">
        <f t="shared" si="1"/>
        <v>2906250</v>
      </c>
      <c r="H139" s="9">
        <f>INT(IF(AND('Lån Översikt'!$D$7="JA", 'Lån Översikt'!$D$11="JA", 'Lån Översikt'!$D$8="JA"), (G139*(('Lån Översikt'!$C$7/100*'Lån Översikt'!$C$11/100)-'Lån Översikt'!$C$8/100))/12, IF(AND('Lån Översikt'!$D$7="JA", 'Lån Översikt'!$D$11="JA", 'Lån Översikt'!$D$8="NEJ"), (G139*(('Lån Översikt'!$C$7/100*'Lån Översikt'!$C$11/100))/12), 0)))
</f>
        <v>7427</v>
      </c>
      <c r="I139" s="8">
        <f t="shared" si="2"/>
        <v>4712</v>
      </c>
      <c r="J139" s="8">
        <f>IF(AND(P139, O139), 0, IF(O139, INT((('Lån Översikt'!$C$5 * 1 / 100) / 12)), INT((('Lån Översikt'!$C$5 * 'Lån Översikt'!$C$15 / 100) / 12))))
</f>
        <v>6250</v>
      </c>
      <c r="K139" s="8">
        <f t="shared" si="3"/>
        <v>4166</v>
      </c>
      <c r="L139" s="8">
        <f t="shared" si="4"/>
        <v>22555</v>
      </c>
      <c r="M139" s="8">
        <f>(L139 + 'Lån Översikt'!$D$50)</f>
        <v>44504</v>
      </c>
      <c r="N139" s="8">
        <f>IF('Lån Översikt'!$D$22 = "JA", 
    IF(Q139 = TRUE, 'Lån Översikt'!$D$24 - M139, 'Lån Översikt'!$D$24 - M139 + 18300), 
    'Lån Översikt'!$D$24 - M139)
</f>
        <v>5296</v>
      </c>
      <c r="O139" s="25" t="b">
        <f t="shared" si="5"/>
        <v>0</v>
      </c>
      <c r="P139" s="26" t="b">
        <f t="shared" si="6"/>
        <v>0</v>
      </c>
      <c r="Q139" s="27" t="b">
        <f t="shared" si="8"/>
        <v>0</v>
      </c>
    </row>
    <row r="140">
      <c r="F140" s="8">
        <v>137.0</v>
      </c>
      <c r="G140" s="11">
        <f t="shared" si="1"/>
        <v>2900000</v>
      </c>
      <c r="H140" s="9">
        <f>INT(IF(AND('Lån Översikt'!$D$7="JA", 'Lån Översikt'!$D$11="JA", 'Lån Översikt'!$D$8="JA"), (G140*(('Lån Översikt'!$C$7/100*'Lån Översikt'!$C$11/100)-'Lån Översikt'!$C$8/100))/12, IF(AND('Lån Översikt'!$D$7="JA", 'Lån Översikt'!$D$11="JA", 'Lån Översikt'!$D$8="NEJ"), (G140*(('Lån Översikt'!$C$7/100*'Lån Översikt'!$C$11/100))/12), 0)))
</f>
        <v>7411</v>
      </c>
      <c r="I140" s="8">
        <f t="shared" si="2"/>
        <v>4712</v>
      </c>
      <c r="J140" s="8">
        <f>IF(AND(P140, O140), 0, IF(O140, INT((('Lån Översikt'!$C$5 * 1 / 100) / 12)), INT((('Lån Översikt'!$C$5 * 'Lån Översikt'!$C$15 / 100) / 12))))
</f>
        <v>6250</v>
      </c>
      <c r="K140" s="8">
        <f t="shared" si="3"/>
        <v>4166</v>
      </c>
      <c r="L140" s="8">
        <f t="shared" si="4"/>
        <v>22539</v>
      </c>
      <c r="M140" s="8">
        <f>(L140 + 'Lån Översikt'!$D$50)</f>
        <v>44488</v>
      </c>
      <c r="N140" s="8">
        <f>IF('Lån Översikt'!$D$22 = "JA", 
    IF(Q140 = TRUE, 'Lån Översikt'!$D$24 - M140, 'Lån Översikt'!$D$24 - M140 + 18300), 
    'Lån Översikt'!$D$24 - M140)
</f>
        <v>5312</v>
      </c>
      <c r="O140" s="25" t="b">
        <f t="shared" si="5"/>
        <v>0</v>
      </c>
      <c r="P140" s="26" t="b">
        <f t="shared" si="6"/>
        <v>0</v>
      </c>
      <c r="Q140" s="27" t="b">
        <f t="shared" si="8"/>
        <v>0</v>
      </c>
    </row>
    <row r="141">
      <c r="F141" s="8">
        <v>138.0</v>
      </c>
      <c r="G141" s="11">
        <f t="shared" si="1"/>
        <v>2893750</v>
      </c>
      <c r="H141" s="9">
        <f>INT(IF(AND('Lån Översikt'!$D$7="JA", 'Lån Översikt'!$D$11="JA", 'Lån Översikt'!$D$8="JA"), (G141*(('Lån Översikt'!$C$7/100*'Lån Översikt'!$C$11/100)-'Lån Översikt'!$C$8/100))/12, IF(AND('Lån Översikt'!$D$7="JA", 'Lån Översikt'!$D$11="JA", 'Lån Översikt'!$D$8="NEJ"), (G141*(('Lån Översikt'!$C$7/100*'Lån Översikt'!$C$11/100))/12), 0)))
</f>
        <v>7395</v>
      </c>
      <c r="I141" s="8">
        <f t="shared" si="2"/>
        <v>4712</v>
      </c>
      <c r="J141" s="8">
        <f>IF(AND(P141, O141), 0, IF(O141, INT((('Lån Översikt'!$C$5 * 1 / 100) / 12)), INT((('Lån Översikt'!$C$5 * 'Lån Översikt'!$C$15 / 100) / 12))))
</f>
        <v>6250</v>
      </c>
      <c r="K141" s="8">
        <f t="shared" si="3"/>
        <v>4166</v>
      </c>
      <c r="L141" s="8">
        <f t="shared" si="4"/>
        <v>22523</v>
      </c>
      <c r="M141" s="8">
        <f>(L141 + 'Lån Översikt'!$D$50)</f>
        <v>44472</v>
      </c>
      <c r="N141" s="8">
        <f>IF('Lån Översikt'!$D$22 = "JA", 
    IF(Q141 = TRUE, 'Lån Översikt'!$D$24 - M141, 'Lån Översikt'!$D$24 - M141 + 18300), 
    'Lån Översikt'!$D$24 - M141)
</f>
        <v>5328</v>
      </c>
      <c r="O141" s="25" t="b">
        <f t="shared" si="5"/>
        <v>0</v>
      </c>
      <c r="P141" s="26" t="b">
        <f t="shared" si="6"/>
        <v>0</v>
      </c>
      <c r="Q141" s="27" t="b">
        <f t="shared" si="8"/>
        <v>0</v>
      </c>
    </row>
    <row r="142">
      <c r="F142" s="8">
        <v>139.0</v>
      </c>
      <c r="G142" s="11">
        <f t="shared" si="1"/>
        <v>2887500</v>
      </c>
      <c r="H142" s="9">
        <f>INT(IF(AND('Lån Översikt'!$D$7="JA", 'Lån Översikt'!$D$11="JA", 'Lån Översikt'!$D$8="JA"), (G142*(('Lån Översikt'!$C$7/100*'Lån Översikt'!$C$11/100)-'Lån Översikt'!$C$8/100))/12, IF(AND('Lån Översikt'!$D$7="JA", 'Lån Översikt'!$D$11="JA", 'Lån Översikt'!$D$8="NEJ"), (G142*(('Lån Översikt'!$C$7/100*'Lån Översikt'!$C$11/100))/12), 0)))
</f>
        <v>7379</v>
      </c>
      <c r="I142" s="8">
        <f t="shared" si="2"/>
        <v>4712</v>
      </c>
      <c r="J142" s="8">
        <f>IF(AND(P142, O142), 0, IF(O142, INT((('Lån Översikt'!$C$5 * 1 / 100) / 12)), INT((('Lån Översikt'!$C$5 * 'Lån Översikt'!$C$15 / 100) / 12))))
</f>
        <v>6250</v>
      </c>
      <c r="K142" s="8">
        <f t="shared" si="3"/>
        <v>4166</v>
      </c>
      <c r="L142" s="8">
        <f t="shared" si="4"/>
        <v>22507</v>
      </c>
      <c r="M142" s="8">
        <f>(L142 + 'Lån Översikt'!$D$50)</f>
        <v>44456</v>
      </c>
      <c r="N142" s="8">
        <f>IF('Lån Översikt'!$D$22 = "JA", 
    IF(Q142 = TRUE, 'Lån Översikt'!$D$24 - M142, 'Lån Översikt'!$D$24 - M142 + 18300), 
    'Lån Översikt'!$D$24 - M142)
</f>
        <v>5344</v>
      </c>
      <c r="O142" s="25" t="b">
        <f t="shared" si="5"/>
        <v>0</v>
      </c>
      <c r="P142" s="26" t="b">
        <f t="shared" si="6"/>
        <v>0</v>
      </c>
      <c r="Q142" s="27" t="b">
        <f t="shared" si="8"/>
        <v>0</v>
      </c>
    </row>
    <row r="143">
      <c r="F143" s="8">
        <v>140.0</v>
      </c>
      <c r="G143" s="11">
        <f t="shared" si="1"/>
        <v>2881250</v>
      </c>
      <c r="H143" s="9">
        <f>INT(IF(AND('Lån Översikt'!$D$7="JA", 'Lån Översikt'!$D$11="JA", 'Lån Översikt'!$D$8="JA"), (G143*(('Lån Översikt'!$C$7/100*'Lån Översikt'!$C$11/100)-'Lån Översikt'!$C$8/100))/12, IF(AND('Lån Översikt'!$D$7="JA", 'Lån Översikt'!$D$11="JA", 'Lån Översikt'!$D$8="NEJ"), (G143*(('Lån Översikt'!$C$7/100*'Lån Översikt'!$C$11/100))/12), 0)))
</f>
        <v>7363</v>
      </c>
      <c r="I143" s="8">
        <f t="shared" si="2"/>
        <v>4712</v>
      </c>
      <c r="J143" s="8">
        <f>IF(AND(P143, O143), 0, IF(O143, INT((('Lån Översikt'!$C$5 * 1 / 100) / 12)), INT((('Lån Översikt'!$C$5 * 'Lån Översikt'!$C$15 / 100) / 12))))
</f>
        <v>6250</v>
      </c>
      <c r="K143" s="8">
        <f t="shared" si="3"/>
        <v>4166</v>
      </c>
      <c r="L143" s="8">
        <f t="shared" si="4"/>
        <v>22491</v>
      </c>
      <c r="M143" s="8">
        <f>(L143 + 'Lån Översikt'!$D$50)</f>
        <v>44440</v>
      </c>
      <c r="N143" s="8">
        <f>IF('Lån Översikt'!$D$22 = "JA", 
    IF(Q143 = TRUE, 'Lån Översikt'!$D$24 - M143, 'Lån Översikt'!$D$24 - M143 + 18300), 
    'Lån Översikt'!$D$24 - M143)
</f>
        <v>5360</v>
      </c>
      <c r="O143" s="25" t="b">
        <f t="shared" si="5"/>
        <v>0</v>
      </c>
      <c r="P143" s="26" t="b">
        <f t="shared" si="6"/>
        <v>0</v>
      </c>
      <c r="Q143" s="27" t="b">
        <f t="shared" si="8"/>
        <v>0</v>
      </c>
    </row>
    <row r="144">
      <c r="F144" s="8">
        <v>141.0</v>
      </c>
      <c r="G144" s="11">
        <f t="shared" si="1"/>
        <v>2875000</v>
      </c>
      <c r="H144" s="9">
        <f>INT(IF(AND('Lån Översikt'!$D$7="JA", 'Lån Översikt'!$D$11="JA", 'Lån Översikt'!$D$8="JA"), (G144*(('Lån Översikt'!$C$7/100*'Lån Översikt'!$C$11/100)-'Lån Översikt'!$C$8/100))/12, IF(AND('Lån Översikt'!$D$7="JA", 'Lån Översikt'!$D$11="JA", 'Lån Översikt'!$D$8="NEJ"), (G144*(('Lån Översikt'!$C$7/100*'Lån Översikt'!$C$11/100))/12), 0)))
</f>
        <v>7348</v>
      </c>
      <c r="I144" s="8">
        <f t="shared" si="2"/>
        <v>4712</v>
      </c>
      <c r="J144" s="8">
        <f>IF(AND(P144, O144), 0, IF(O144, INT((('Lån Översikt'!$C$5 * 1 / 100) / 12)), INT((('Lån Översikt'!$C$5 * 'Lån Översikt'!$C$15 / 100) / 12))))
</f>
        <v>6250</v>
      </c>
      <c r="K144" s="8">
        <f t="shared" si="3"/>
        <v>4166</v>
      </c>
      <c r="L144" s="8">
        <f t="shared" si="4"/>
        <v>22476</v>
      </c>
      <c r="M144" s="8">
        <f>(L144 + 'Lån Översikt'!$D$50)</f>
        <v>44425</v>
      </c>
      <c r="N144" s="8">
        <f>IF('Lån Översikt'!$D$22 = "JA", 
    IF(Q144 = TRUE, 'Lån Översikt'!$D$24 - M144, 'Lån Översikt'!$D$24 - M144 + 18300), 
    'Lån Översikt'!$D$24 - M144)
</f>
        <v>5375</v>
      </c>
      <c r="O144" s="25" t="b">
        <f t="shared" si="5"/>
        <v>0</v>
      </c>
      <c r="P144" s="26" t="b">
        <f t="shared" si="6"/>
        <v>0</v>
      </c>
      <c r="Q144" s="27" t="b">
        <f t="shared" si="8"/>
        <v>0</v>
      </c>
    </row>
    <row r="145">
      <c r="F145" s="8">
        <v>142.0</v>
      </c>
      <c r="G145" s="11">
        <f t="shared" si="1"/>
        <v>2868750</v>
      </c>
      <c r="H145" s="9">
        <f>INT(IF(AND('Lån Översikt'!$D$7="JA", 'Lån Översikt'!$D$11="JA", 'Lån Översikt'!$D$8="JA"), (G145*(('Lån Översikt'!$C$7/100*'Lån Översikt'!$C$11/100)-'Lån Översikt'!$C$8/100))/12, IF(AND('Lån Översikt'!$D$7="JA", 'Lån Översikt'!$D$11="JA", 'Lån Översikt'!$D$8="NEJ"), (G145*(('Lån Översikt'!$C$7/100*'Lån Översikt'!$C$11/100))/12), 0)))
</f>
        <v>7332</v>
      </c>
      <c r="I145" s="8">
        <f t="shared" si="2"/>
        <v>4712</v>
      </c>
      <c r="J145" s="8">
        <f>IF(AND(P145, O145), 0, IF(O145, INT((('Lån Översikt'!$C$5 * 1 / 100) / 12)), INT((('Lån Översikt'!$C$5 * 'Lån Översikt'!$C$15 / 100) / 12))))
</f>
        <v>6250</v>
      </c>
      <c r="K145" s="8">
        <f t="shared" si="3"/>
        <v>4166</v>
      </c>
      <c r="L145" s="8">
        <f t="shared" si="4"/>
        <v>22460</v>
      </c>
      <c r="M145" s="8">
        <f>(L145 + 'Lån Översikt'!$D$50)</f>
        <v>44409</v>
      </c>
      <c r="N145" s="8">
        <f>IF('Lån Översikt'!$D$22 = "JA", 
    IF(Q145 = TRUE, 'Lån Översikt'!$D$24 - M145, 'Lån Översikt'!$D$24 - M145 + 18300), 
    'Lån Översikt'!$D$24 - M145)
</f>
        <v>5391</v>
      </c>
      <c r="O145" s="25" t="b">
        <f t="shared" si="5"/>
        <v>0</v>
      </c>
      <c r="P145" s="26" t="b">
        <f t="shared" si="6"/>
        <v>0</v>
      </c>
      <c r="Q145" s="27" t="b">
        <f t="shared" si="8"/>
        <v>0</v>
      </c>
    </row>
    <row r="146">
      <c r="F146" s="8">
        <v>143.0</v>
      </c>
      <c r="G146" s="11">
        <f t="shared" si="1"/>
        <v>2862500</v>
      </c>
      <c r="H146" s="9">
        <f>INT(IF(AND('Lån Översikt'!$D$7="JA", 'Lån Översikt'!$D$11="JA", 'Lån Översikt'!$D$8="JA"), (G146*(('Lån Översikt'!$C$7/100*'Lån Översikt'!$C$11/100)-'Lån Översikt'!$C$8/100))/12, IF(AND('Lån Översikt'!$D$7="JA", 'Lån Översikt'!$D$11="JA", 'Lån Översikt'!$D$8="NEJ"), (G146*(('Lån Översikt'!$C$7/100*'Lån Översikt'!$C$11/100))/12), 0)))
</f>
        <v>7316</v>
      </c>
      <c r="I146" s="8">
        <f t="shared" si="2"/>
        <v>4712</v>
      </c>
      <c r="J146" s="8">
        <f>IF(AND(P146, O146), 0, IF(O146, INT((('Lån Översikt'!$C$5 * 1 / 100) / 12)), INT((('Lån Översikt'!$C$5 * 'Lån Översikt'!$C$15 / 100) / 12))))
</f>
        <v>6250</v>
      </c>
      <c r="K146" s="8">
        <f t="shared" si="3"/>
        <v>4166</v>
      </c>
      <c r="L146" s="8">
        <f t="shared" si="4"/>
        <v>22444</v>
      </c>
      <c r="M146" s="8">
        <f>(L146 + 'Lån Översikt'!$D$50)</f>
        <v>44393</v>
      </c>
      <c r="N146" s="8">
        <f>IF('Lån Översikt'!$D$22 = "JA", 
    IF(Q146 = TRUE, 'Lån Översikt'!$D$24 - M146, 'Lån Översikt'!$D$24 - M146 + 18300), 
    'Lån Översikt'!$D$24 - M146)
</f>
        <v>5407</v>
      </c>
      <c r="O146" s="25" t="b">
        <f t="shared" si="5"/>
        <v>0</v>
      </c>
      <c r="P146" s="26" t="b">
        <f t="shared" si="6"/>
        <v>0</v>
      </c>
      <c r="Q146" s="27" t="b">
        <f t="shared" si="8"/>
        <v>0</v>
      </c>
    </row>
    <row r="147">
      <c r="F147" s="8">
        <v>144.0</v>
      </c>
      <c r="G147" s="11">
        <f t="shared" si="1"/>
        <v>2856250</v>
      </c>
      <c r="H147" s="9">
        <f>INT(IF(AND('Lån Översikt'!$D$7="JA", 'Lån Översikt'!$D$11="JA", 'Lån Översikt'!$D$8="JA"), (G147*(('Lån Översikt'!$C$7/100*'Lån Översikt'!$C$11/100)-'Lån Översikt'!$C$8/100))/12, IF(AND('Lån Översikt'!$D$7="JA", 'Lån Översikt'!$D$11="JA", 'Lån Översikt'!$D$8="NEJ"), (G147*(('Lån Översikt'!$C$7/100*'Lån Översikt'!$C$11/100))/12), 0)))
</f>
        <v>7300</v>
      </c>
      <c r="I147" s="8">
        <f t="shared" si="2"/>
        <v>4712</v>
      </c>
      <c r="J147" s="8">
        <f>IF(AND(P147, O147), 0, IF(O147, INT((('Lån Översikt'!$C$5 * 1 / 100) / 12)), INT((('Lån Översikt'!$C$5 * 'Lån Översikt'!$C$15 / 100) / 12))))
</f>
        <v>6250</v>
      </c>
      <c r="K147" s="8">
        <f t="shared" si="3"/>
        <v>4166</v>
      </c>
      <c r="L147" s="8">
        <f t="shared" si="4"/>
        <v>22428</v>
      </c>
      <c r="M147" s="8">
        <f>(L147 + 'Lån Översikt'!$D$50)</f>
        <v>44377</v>
      </c>
      <c r="N147" s="8">
        <f>IF('Lån Översikt'!$D$22 = "JA", 
    IF(Q147 = TRUE, 'Lån Översikt'!$D$24 - M147, 'Lån Översikt'!$D$24 - M147 + 18300), 
    'Lån Översikt'!$D$24 - M147)
</f>
        <v>5423</v>
      </c>
      <c r="O147" s="25" t="b">
        <f t="shared" si="5"/>
        <v>0</v>
      </c>
      <c r="P147" s="26" t="b">
        <f t="shared" si="6"/>
        <v>0</v>
      </c>
      <c r="Q147" s="27" t="b">
        <f t="shared" si="8"/>
        <v>0</v>
      </c>
    </row>
    <row r="148">
      <c r="F148" s="8">
        <v>145.0</v>
      </c>
      <c r="G148" s="11">
        <f t="shared" si="1"/>
        <v>2850000</v>
      </c>
      <c r="H148" s="9">
        <f>INT(IF(AND('Lån Översikt'!$D$7="JA", 'Lån Översikt'!$D$11="JA", 'Lån Översikt'!$D$8="JA"), (G148*(('Lån Översikt'!$C$7/100*'Lån Översikt'!$C$11/100)-'Lån Översikt'!$C$8/100))/12, IF(AND('Lån Översikt'!$D$7="JA", 'Lån Översikt'!$D$11="JA", 'Lån Översikt'!$D$8="NEJ"), (G148*(('Lån Översikt'!$C$7/100*'Lån Översikt'!$C$11/100))/12), 0)))
</f>
        <v>7284</v>
      </c>
      <c r="I148" s="8">
        <f t="shared" si="2"/>
        <v>4712</v>
      </c>
      <c r="J148" s="8">
        <f>IF(AND(P148, O148), 0, IF(O148, INT((('Lån Översikt'!$C$5 * 1 / 100) / 12)), INT((('Lån Översikt'!$C$5 * 'Lån Översikt'!$C$15 / 100) / 12))))
</f>
        <v>6250</v>
      </c>
      <c r="K148" s="8">
        <f t="shared" si="3"/>
        <v>4166</v>
      </c>
      <c r="L148" s="8">
        <f t="shared" si="4"/>
        <v>22412</v>
      </c>
      <c r="M148" s="8">
        <f>(L148 + 'Lån Översikt'!$D$50)</f>
        <v>44361</v>
      </c>
      <c r="N148" s="8">
        <f>IF('Lån Översikt'!$D$22 = "JA", 
    IF(Q148 = TRUE, 'Lån Översikt'!$D$24 - M148, 'Lån Översikt'!$D$24 - M148 + 18300), 
    'Lån Översikt'!$D$24 - M148)
</f>
        <v>5439</v>
      </c>
      <c r="O148" s="25" t="b">
        <f t="shared" si="5"/>
        <v>0</v>
      </c>
      <c r="P148" s="26" t="b">
        <f t="shared" si="6"/>
        <v>0</v>
      </c>
      <c r="Q148" s="27" t="b">
        <f t="shared" si="8"/>
        <v>0</v>
      </c>
    </row>
    <row r="149">
      <c r="F149" s="8">
        <v>146.0</v>
      </c>
      <c r="G149" s="11">
        <f t="shared" si="1"/>
        <v>2843750</v>
      </c>
      <c r="H149" s="9">
        <f>INT(IF(AND('Lån Översikt'!$D$7="JA", 'Lån Översikt'!$D$11="JA", 'Lån Översikt'!$D$8="JA"), (G149*(('Lån Översikt'!$C$7/100*'Lån Översikt'!$C$11/100)-'Lån Översikt'!$C$8/100))/12, IF(AND('Lån Översikt'!$D$7="JA", 'Lån Översikt'!$D$11="JA", 'Lån Översikt'!$D$8="NEJ"), (G149*(('Lån Översikt'!$C$7/100*'Lån Översikt'!$C$11/100))/12), 0)))
</f>
        <v>7268</v>
      </c>
      <c r="I149" s="8">
        <f t="shared" si="2"/>
        <v>4712</v>
      </c>
      <c r="J149" s="8">
        <f>IF(AND(P149, O149), 0, IF(O149, INT((('Lån Översikt'!$C$5 * 1 / 100) / 12)), INT((('Lån Översikt'!$C$5 * 'Lån Översikt'!$C$15 / 100) / 12))))
</f>
        <v>6250</v>
      </c>
      <c r="K149" s="8">
        <f t="shared" si="3"/>
        <v>4166</v>
      </c>
      <c r="L149" s="8">
        <f t="shared" si="4"/>
        <v>22396</v>
      </c>
      <c r="M149" s="8">
        <f>(L149 + 'Lån Översikt'!$D$50)</f>
        <v>44345</v>
      </c>
      <c r="N149" s="8">
        <f>IF('Lån Översikt'!$D$22 = "JA", 
    IF(Q149 = TRUE, 'Lån Översikt'!$D$24 - M149, 'Lån Översikt'!$D$24 - M149 + 18300), 
    'Lån Översikt'!$D$24 - M149)
</f>
        <v>5455</v>
      </c>
      <c r="O149" s="25" t="b">
        <f t="shared" si="5"/>
        <v>0</v>
      </c>
      <c r="P149" s="26" t="b">
        <f t="shared" si="6"/>
        <v>0</v>
      </c>
      <c r="Q149" s="27" t="b">
        <f t="shared" si="8"/>
        <v>0</v>
      </c>
    </row>
    <row r="150">
      <c r="F150" s="8">
        <v>147.0</v>
      </c>
      <c r="G150" s="11">
        <f t="shared" si="1"/>
        <v>2837500</v>
      </c>
      <c r="H150" s="9">
        <f>INT(IF(AND('Lån Översikt'!$D$7="JA", 'Lån Översikt'!$D$11="JA", 'Lån Översikt'!$D$8="JA"), (G150*(('Lån Översikt'!$C$7/100*'Lån Översikt'!$C$11/100)-'Lån Översikt'!$C$8/100))/12, IF(AND('Lån Översikt'!$D$7="JA", 'Lån Översikt'!$D$11="JA", 'Lån Översikt'!$D$8="NEJ"), (G150*(('Lån Översikt'!$C$7/100*'Lån Översikt'!$C$11/100))/12), 0)))
</f>
        <v>7252</v>
      </c>
      <c r="I150" s="8">
        <f t="shared" si="2"/>
        <v>4712</v>
      </c>
      <c r="J150" s="8">
        <f>IF(AND(P150, O150), 0, IF(O150, INT((('Lån Översikt'!$C$5 * 1 / 100) / 12)), INT((('Lån Översikt'!$C$5 * 'Lån Översikt'!$C$15 / 100) / 12))))
</f>
        <v>6250</v>
      </c>
      <c r="K150" s="8">
        <f t="shared" si="3"/>
        <v>4166</v>
      </c>
      <c r="L150" s="8">
        <f t="shared" si="4"/>
        <v>22380</v>
      </c>
      <c r="M150" s="8">
        <f>(L150 + 'Lån Översikt'!$D$50)</f>
        <v>44329</v>
      </c>
      <c r="N150" s="8">
        <f>IF('Lån Översikt'!$D$22 = "JA", 
    IF(Q150 = TRUE, 'Lån Översikt'!$D$24 - M150, 'Lån Översikt'!$D$24 - M150 + 18300), 
    'Lån Översikt'!$D$24 - M150)
</f>
        <v>5471</v>
      </c>
      <c r="O150" s="25" t="b">
        <f t="shared" si="5"/>
        <v>0</v>
      </c>
      <c r="P150" s="26" t="b">
        <f t="shared" si="6"/>
        <v>0</v>
      </c>
      <c r="Q150" s="27" t="b">
        <f t="shared" si="8"/>
        <v>0</v>
      </c>
    </row>
    <row r="151">
      <c r="F151" s="8">
        <v>148.0</v>
      </c>
      <c r="G151" s="11">
        <f t="shared" si="1"/>
        <v>2831250</v>
      </c>
      <c r="H151" s="9">
        <f>INT(IF(AND('Lån Översikt'!$D$7="JA", 'Lån Översikt'!$D$11="JA", 'Lån Översikt'!$D$8="JA"), (G151*(('Lån Översikt'!$C$7/100*'Lån Översikt'!$C$11/100)-'Lån Översikt'!$C$8/100))/12, IF(AND('Lån Översikt'!$D$7="JA", 'Lån Översikt'!$D$11="JA", 'Lån Översikt'!$D$8="NEJ"), (G151*(('Lån Översikt'!$C$7/100*'Lån Översikt'!$C$11/100))/12), 0)))
</f>
        <v>7236</v>
      </c>
      <c r="I151" s="8">
        <f t="shared" si="2"/>
        <v>4712</v>
      </c>
      <c r="J151" s="8">
        <f>IF(AND(P151, O151), 0, IF(O151, INT((('Lån Översikt'!$C$5 * 1 / 100) / 12)), INT((('Lån Översikt'!$C$5 * 'Lån Översikt'!$C$15 / 100) / 12))))
</f>
        <v>6250</v>
      </c>
      <c r="K151" s="8">
        <f t="shared" si="3"/>
        <v>4166</v>
      </c>
      <c r="L151" s="8">
        <f t="shared" si="4"/>
        <v>22364</v>
      </c>
      <c r="M151" s="8">
        <f>(L151 + 'Lån Översikt'!$D$50)</f>
        <v>44313</v>
      </c>
      <c r="N151" s="8">
        <f>IF('Lån Översikt'!$D$22 = "JA", 
    IF(Q151 = TRUE, 'Lån Översikt'!$D$24 - M151, 'Lån Översikt'!$D$24 - M151 + 18300), 
    'Lån Översikt'!$D$24 - M151)
</f>
        <v>5487</v>
      </c>
      <c r="O151" s="25" t="b">
        <f t="shared" si="5"/>
        <v>0</v>
      </c>
      <c r="P151" s="26" t="b">
        <f t="shared" si="6"/>
        <v>0</v>
      </c>
      <c r="Q151" s="27" t="b">
        <f t="shared" si="8"/>
        <v>0</v>
      </c>
    </row>
    <row r="152">
      <c r="F152" s="8">
        <v>149.0</v>
      </c>
      <c r="G152" s="11">
        <f t="shared" si="1"/>
        <v>2825000</v>
      </c>
      <c r="H152" s="9">
        <f>INT(IF(AND('Lån Översikt'!$D$7="JA", 'Lån Översikt'!$D$11="JA", 'Lån Översikt'!$D$8="JA"), (G152*(('Lån Översikt'!$C$7/100*'Lån Översikt'!$C$11/100)-'Lån Översikt'!$C$8/100))/12, IF(AND('Lån Översikt'!$D$7="JA", 'Lån Översikt'!$D$11="JA", 'Lån Översikt'!$D$8="NEJ"), (G152*(('Lån Översikt'!$C$7/100*'Lån Översikt'!$C$11/100))/12), 0)))
</f>
        <v>7220</v>
      </c>
      <c r="I152" s="8">
        <f t="shared" si="2"/>
        <v>4712</v>
      </c>
      <c r="J152" s="8">
        <f>IF(AND(P152, O152), 0, IF(O152, INT((('Lån Översikt'!$C$5 * 1 / 100) / 12)), INT((('Lån Översikt'!$C$5 * 'Lån Översikt'!$C$15 / 100) / 12))))
</f>
        <v>6250</v>
      </c>
      <c r="K152" s="8">
        <f t="shared" si="3"/>
        <v>4166</v>
      </c>
      <c r="L152" s="8">
        <f t="shared" si="4"/>
        <v>22348</v>
      </c>
      <c r="M152" s="8">
        <f>(L152 + 'Lån Översikt'!$D$50)</f>
        <v>44297</v>
      </c>
      <c r="N152" s="8">
        <f>IF('Lån Översikt'!$D$22 = "JA", 
    IF(Q152 = TRUE, 'Lån Översikt'!$D$24 - M152, 'Lån Översikt'!$D$24 - M152 + 18300), 
    'Lån Översikt'!$D$24 - M152)
</f>
        <v>5503</v>
      </c>
      <c r="O152" s="25" t="b">
        <f t="shared" si="5"/>
        <v>0</v>
      </c>
      <c r="P152" s="26" t="b">
        <f t="shared" si="6"/>
        <v>0</v>
      </c>
      <c r="Q152" s="27" t="b">
        <f t="shared" si="8"/>
        <v>0</v>
      </c>
    </row>
    <row r="153">
      <c r="F153" s="8">
        <v>150.0</v>
      </c>
      <c r="G153" s="11">
        <f t="shared" si="1"/>
        <v>2818750</v>
      </c>
      <c r="H153" s="9">
        <f>INT(IF(AND('Lån Översikt'!$D$7="JA", 'Lån Översikt'!$D$11="JA", 'Lån Översikt'!$D$8="JA"), (G153*(('Lån Översikt'!$C$7/100*'Lån Översikt'!$C$11/100)-'Lån Översikt'!$C$8/100))/12, IF(AND('Lån Översikt'!$D$7="JA", 'Lån Översikt'!$D$11="JA", 'Lån Översikt'!$D$8="NEJ"), (G153*(('Lån Översikt'!$C$7/100*'Lån Översikt'!$C$11/100))/12), 0)))
</f>
        <v>7204</v>
      </c>
      <c r="I153" s="8">
        <f t="shared" si="2"/>
        <v>4712</v>
      </c>
      <c r="J153" s="8">
        <f>IF(AND(P153, O153), 0, IF(O153, INT((('Lån Översikt'!$C$5 * 1 / 100) / 12)), INT((('Lån Översikt'!$C$5 * 'Lån Översikt'!$C$15 / 100) / 12))))
</f>
        <v>6250</v>
      </c>
      <c r="K153" s="8">
        <f t="shared" si="3"/>
        <v>4166</v>
      </c>
      <c r="L153" s="8">
        <f t="shared" si="4"/>
        <v>22332</v>
      </c>
      <c r="M153" s="8">
        <f>(L153 + 'Lån Översikt'!$D$50)</f>
        <v>44281</v>
      </c>
      <c r="N153" s="8">
        <f>IF('Lån Översikt'!$D$22 = "JA", 
    IF(Q153 = TRUE, 'Lån Översikt'!$D$24 - M153, 'Lån Översikt'!$D$24 - M153 + 18300), 
    'Lån Översikt'!$D$24 - M153)
</f>
        <v>5519</v>
      </c>
      <c r="O153" s="25" t="b">
        <f t="shared" si="5"/>
        <v>0</v>
      </c>
      <c r="P153" s="26" t="b">
        <f t="shared" si="6"/>
        <v>0</v>
      </c>
      <c r="Q153" s="27" t="b">
        <f t="shared" si="8"/>
        <v>0</v>
      </c>
    </row>
    <row r="154">
      <c r="F154" s="8">
        <v>151.0</v>
      </c>
      <c r="G154" s="11">
        <f t="shared" si="1"/>
        <v>2812500</v>
      </c>
      <c r="H154" s="9">
        <f>INT(IF(AND('Lån Översikt'!$D$7="JA", 'Lån Översikt'!$D$11="JA", 'Lån Översikt'!$D$8="JA"), (G154*(('Lån Översikt'!$C$7/100*'Lån Översikt'!$C$11/100)-'Lån Översikt'!$C$8/100))/12, IF(AND('Lån Översikt'!$D$7="JA", 'Lån Översikt'!$D$11="JA", 'Lån Översikt'!$D$8="NEJ"), (G154*(('Lån Översikt'!$C$7/100*'Lån Översikt'!$C$11/100))/12), 0)))
</f>
        <v>7188</v>
      </c>
      <c r="I154" s="8">
        <f t="shared" si="2"/>
        <v>4712</v>
      </c>
      <c r="J154" s="8">
        <f>IF(AND(P154, O154), 0, IF(O154, INT((('Lån Översikt'!$C$5 * 1 / 100) / 12)), INT((('Lån Översikt'!$C$5 * 'Lån Översikt'!$C$15 / 100) / 12))))
</f>
        <v>6250</v>
      </c>
      <c r="K154" s="8">
        <f t="shared" si="3"/>
        <v>4166</v>
      </c>
      <c r="L154" s="8">
        <f t="shared" si="4"/>
        <v>22316</v>
      </c>
      <c r="M154" s="8">
        <f>(L154 + 'Lån Översikt'!$D$50)</f>
        <v>44265</v>
      </c>
      <c r="N154" s="8">
        <f>IF('Lån Översikt'!$D$22 = "JA", 
    IF(Q154 = TRUE, 'Lån Översikt'!$D$24 - M154, 'Lån Översikt'!$D$24 - M154 + 18300), 
    'Lån Översikt'!$D$24 - M154)
</f>
        <v>5535</v>
      </c>
      <c r="O154" s="25" t="b">
        <f t="shared" si="5"/>
        <v>0</v>
      </c>
      <c r="P154" s="26" t="b">
        <f t="shared" si="6"/>
        <v>0</v>
      </c>
      <c r="Q154" s="27" t="b">
        <f t="shared" si="8"/>
        <v>0</v>
      </c>
    </row>
    <row r="155">
      <c r="F155" s="8">
        <v>152.0</v>
      </c>
      <c r="G155" s="11">
        <f t="shared" si="1"/>
        <v>2806250</v>
      </c>
      <c r="H155" s="9">
        <f>INT(IF(AND('Lån Översikt'!$D$7="JA", 'Lån Översikt'!$D$11="JA", 'Lån Översikt'!$D$8="JA"), (G155*(('Lån Översikt'!$C$7/100*'Lån Översikt'!$C$11/100)-'Lån Översikt'!$C$8/100))/12, IF(AND('Lån Översikt'!$D$7="JA", 'Lån Översikt'!$D$11="JA", 'Lån Översikt'!$D$8="NEJ"), (G155*(('Lån Översikt'!$C$7/100*'Lån Översikt'!$C$11/100))/12), 0)))
</f>
        <v>7172</v>
      </c>
      <c r="I155" s="8">
        <f t="shared" si="2"/>
        <v>4712</v>
      </c>
      <c r="J155" s="8">
        <f>IF(AND(P155, O155), 0, IF(O155, INT((('Lån Översikt'!$C$5 * 1 / 100) / 12)), INT((('Lån Översikt'!$C$5 * 'Lån Översikt'!$C$15 / 100) / 12))))
</f>
        <v>6250</v>
      </c>
      <c r="K155" s="8">
        <f t="shared" si="3"/>
        <v>4166</v>
      </c>
      <c r="L155" s="8">
        <f t="shared" si="4"/>
        <v>22300</v>
      </c>
      <c r="M155" s="8">
        <f>(L155 + 'Lån Översikt'!$D$50)</f>
        <v>44249</v>
      </c>
      <c r="N155" s="8">
        <f>IF('Lån Översikt'!$D$22 = "JA", 
    IF(Q155 = TRUE, 'Lån Översikt'!$D$24 - M155, 'Lån Översikt'!$D$24 - M155 + 18300), 
    'Lån Översikt'!$D$24 - M155)
</f>
        <v>5551</v>
      </c>
      <c r="O155" s="25" t="b">
        <f t="shared" si="5"/>
        <v>0</v>
      </c>
      <c r="P155" s="26" t="b">
        <f t="shared" si="6"/>
        <v>0</v>
      </c>
      <c r="Q155" s="27" t="b">
        <f t="shared" si="8"/>
        <v>0</v>
      </c>
    </row>
    <row r="156">
      <c r="F156" s="8">
        <v>153.0</v>
      </c>
      <c r="G156" s="11">
        <f t="shared" si="1"/>
        <v>2800000</v>
      </c>
      <c r="H156" s="9">
        <f>INT(IF(AND('Lån Översikt'!$D$7="JA", 'Lån Översikt'!$D$11="JA", 'Lån Översikt'!$D$8="JA"), (G156*(('Lån Översikt'!$C$7/100*'Lån Översikt'!$C$11/100)-'Lån Översikt'!$C$8/100))/12, IF(AND('Lån Översikt'!$D$7="JA", 'Lån Översikt'!$D$11="JA", 'Lån Översikt'!$D$8="NEJ"), (G156*(('Lån Översikt'!$C$7/100*'Lån Översikt'!$C$11/100))/12), 0)))
</f>
        <v>7156</v>
      </c>
      <c r="I156" s="8">
        <f t="shared" si="2"/>
        <v>4712</v>
      </c>
      <c r="J156" s="8">
        <f>IF(AND(P156, O156), 0, IF(O156, INT((('Lån Översikt'!$C$5 * 1 / 100) / 12)), INT((('Lån Översikt'!$C$5 * 'Lån Översikt'!$C$15 / 100) / 12))))
</f>
        <v>6250</v>
      </c>
      <c r="K156" s="8">
        <f t="shared" si="3"/>
        <v>4166</v>
      </c>
      <c r="L156" s="8">
        <f t="shared" si="4"/>
        <v>22284</v>
      </c>
      <c r="M156" s="8">
        <f>(L156 + 'Lån Översikt'!$D$50)</f>
        <v>44233</v>
      </c>
      <c r="N156" s="8">
        <f>IF('Lån Översikt'!$D$22 = "JA", 
    IF(Q156 = TRUE, 'Lån Översikt'!$D$24 - M156, 'Lån Översikt'!$D$24 - M156 + 18300), 
    'Lån Översikt'!$D$24 - M156)
</f>
        <v>5567</v>
      </c>
      <c r="O156" s="25" t="b">
        <f t="shared" si="5"/>
        <v>0</v>
      </c>
      <c r="P156" s="26" t="b">
        <f t="shared" si="6"/>
        <v>0</v>
      </c>
      <c r="Q156" s="27" t="b">
        <f t="shared" si="8"/>
        <v>0</v>
      </c>
    </row>
    <row r="157">
      <c r="F157" s="8">
        <v>154.0</v>
      </c>
      <c r="G157" s="11">
        <f t="shared" si="1"/>
        <v>2793750</v>
      </c>
      <c r="H157" s="9">
        <f>INT(IF(AND('Lån Översikt'!$D$7="JA", 'Lån Översikt'!$D$11="JA", 'Lån Översikt'!$D$8="JA"), (G157*(('Lån Översikt'!$C$7/100*'Lån Översikt'!$C$11/100)-'Lån Översikt'!$C$8/100))/12, IF(AND('Lån Översikt'!$D$7="JA", 'Lån Översikt'!$D$11="JA", 'Lån Översikt'!$D$8="NEJ"), (G157*(('Lån Översikt'!$C$7/100*'Lån Översikt'!$C$11/100))/12), 0)))
</f>
        <v>7140</v>
      </c>
      <c r="I157" s="8">
        <f t="shared" si="2"/>
        <v>4712</v>
      </c>
      <c r="J157" s="8">
        <f>IF(AND(P157, O157), 0, IF(O157, INT((('Lån Översikt'!$C$5 * 1 / 100) / 12)), INT((('Lån Översikt'!$C$5 * 'Lån Översikt'!$C$15 / 100) / 12))))
</f>
        <v>6250</v>
      </c>
      <c r="K157" s="8">
        <f t="shared" si="3"/>
        <v>4166</v>
      </c>
      <c r="L157" s="8">
        <f t="shared" si="4"/>
        <v>22268</v>
      </c>
      <c r="M157" s="8">
        <f>(L157 + 'Lån Översikt'!$D$50)</f>
        <v>44217</v>
      </c>
      <c r="N157" s="8">
        <f>IF('Lån Översikt'!$D$22 = "JA", 
    IF(Q157 = TRUE, 'Lån Översikt'!$D$24 - M157, 'Lån Översikt'!$D$24 - M157 + 18300), 
    'Lån Översikt'!$D$24 - M157)
</f>
        <v>5583</v>
      </c>
      <c r="O157" s="25" t="b">
        <f t="shared" si="5"/>
        <v>0</v>
      </c>
      <c r="P157" s="26" t="b">
        <f t="shared" si="6"/>
        <v>0</v>
      </c>
      <c r="Q157" s="27" t="b">
        <f t="shared" si="8"/>
        <v>0</v>
      </c>
    </row>
    <row r="158">
      <c r="F158" s="8">
        <v>155.0</v>
      </c>
      <c r="G158" s="11">
        <f t="shared" si="1"/>
        <v>2787500</v>
      </c>
      <c r="H158" s="9">
        <f>INT(IF(AND('Lån Översikt'!$D$7="JA", 'Lån Översikt'!$D$11="JA", 'Lån Översikt'!$D$8="JA"), (G158*(('Lån Översikt'!$C$7/100*'Lån Översikt'!$C$11/100)-'Lån Översikt'!$C$8/100))/12, IF(AND('Lån Översikt'!$D$7="JA", 'Lån Översikt'!$D$11="JA", 'Lån Översikt'!$D$8="NEJ"), (G158*(('Lån Översikt'!$C$7/100*'Lån Översikt'!$C$11/100))/12), 0)))
</f>
        <v>7124</v>
      </c>
      <c r="I158" s="8">
        <f t="shared" si="2"/>
        <v>4712</v>
      </c>
      <c r="J158" s="8">
        <f>IF(AND(P158, O158), 0, IF(O158, INT((('Lån Översikt'!$C$5 * 1 / 100) / 12)), INT((('Lån Översikt'!$C$5 * 'Lån Översikt'!$C$15 / 100) / 12))))
</f>
        <v>6250</v>
      </c>
      <c r="K158" s="8">
        <f t="shared" si="3"/>
        <v>4166</v>
      </c>
      <c r="L158" s="8">
        <f t="shared" si="4"/>
        <v>22252</v>
      </c>
      <c r="M158" s="8">
        <f>(L158 + 'Lån Översikt'!$D$50)</f>
        <v>44201</v>
      </c>
      <c r="N158" s="8">
        <f>IF('Lån Översikt'!$D$22 = "JA", 
    IF(Q158 = TRUE, 'Lån Översikt'!$D$24 - M158, 'Lån Översikt'!$D$24 - M158 + 18300), 
    'Lån Översikt'!$D$24 - M158)
</f>
        <v>5599</v>
      </c>
      <c r="O158" s="25" t="b">
        <f t="shared" si="5"/>
        <v>0</v>
      </c>
      <c r="P158" s="26" t="b">
        <f t="shared" si="6"/>
        <v>0</v>
      </c>
      <c r="Q158" s="27" t="b">
        <f t="shared" si="8"/>
        <v>0</v>
      </c>
    </row>
    <row r="159">
      <c r="F159" s="8">
        <v>156.0</v>
      </c>
      <c r="G159" s="11">
        <f t="shared" si="1"/>
        <v>2781250</v>
      </c>
      <c r="H159" s="9">
        <f>INT(IF(AND('Lån Översikt'!$D$7="JA", 'Lån Översikt'!$D$11="JA", 'Lån Översikt'!$D$8="JA"), (G159*(('Lån Översikt'!$C$7/100*'Lån Översikt'!$C$11/100)-'Lån Översikt'!$C$8/100))/12, IF(AND('Lån Översikt'!$D$7="JA", 'Lån Översikt'!$D$11="JA", 'Lån Översikt'!$D$8="NEJ"), (G159*(('Lån Översikt'!$C$7/100*'Lån Översikt'!$C$11/100))/12), 0)))
</f>
        <v>7108</v>
      </c>
      <c r="I159" s="8">
        <f t="shared" si="2"/>
        <v>4712</v>
      </c>
      <c r="J159" s="8">
        <f>IF(AND(P159, O159), 0, IF(O159, INT((('Lån Översikt'!$C$5 * 1 / 100) / 12)), INT((('Lån Översikt'!$C$5 * 'Lån Översikt'!$C$15 / 100) / 12))))
</f>
        <v>6250</v>
      </c>
      <c r="K159" s="8">
        <f t="shared" si="3"/>
        <v>4166</v>
      </c>
      <c r="L159" s="8">
        <f t="shared" si="4"/>
        <v>22236</v>
      </c>
      <c r="M159" s="8">
        <f>(L159 + 'Lån Översikt'!$D$50)</f>
        <v>44185</v>
      </c>
      <c r="N159" s="8">
        <f>IF('Lån Översikt'!$D$22 = "JA", 
    IF(Q159 = TRUE, 'Lån Översikt'!$D$24 - M159, 'Lån Översikt'!$D$24 - M159 + 18300), 
    'Lån Översikt'!$D$24 - M159)
</f>
        <v>5615</v>
      </c>
      <c r="O159" s="25" t="b">
        <f t="shared" si="5"/>
        <v>0</v>
      </c>
      <c r="P159" s="26" t="b">
        <f t="shared" si="6"/>
        <v>0</v>
      </c>
      <c r="Q159" s="27" t="b">
        <f t="shared" si="8"/>
        <v>0</v>
      </c>
    </row>
    <row r="160">
      <c r="F160" s="8">
        <v>157.0</v>
      </c>
      <c r="G160" s="11">
        <f t="shared" si="1"/>
        <v>2775000</v>
      </c>
      <c r="H160" s="9">
        <f>INT(IF(AND('Lån Översikt'!$D$7="JA", 'Lån Översikt'!$D$11="JA", 'Lån Översikt'!$D$8="JA"), (G160*(('Lån Översikt'!$C$7/100*'Lån Översikt'!$C$11/100)-'Lån Översikt'!$C$8/100))/12, IF(AND('Lån Översikt'!$D$7="JA", 'Lån Översikt'!$D$11="JA", 'Lån Översikt'!$D$8="NEJ"), (G160*(('Lån Översikt'!$C$7/100*'Lån Översikt'!$C$11/100))/12), 0)))
</f>
        <v>7092</v>
      </c>
      <c r="I160" s="8">
        <f t="shared" si="2"/>
        <v>4712</v>
      </c>
      <c r="J160" s="8">
        <f>IF(AND(P160, O160), 0, IF(O160, INT((('Lån Översikt'!$C$5 * 1 / 100) / 12)), INT((('Lån Översikt'!$C$5 * 'Lån Översikt'!$C$15 / 100) / 12))))
</f>
        <v>6250</v>
      </c>
      <c r="K160" s="8">
        <f t="shared" si="3"/>
        <v>4166</v>
      </c>
      <c r="L160" s="8">
        <f t="shared" si="4"/>
        <v>22220</v>
      </c>
      <c r="M160" s="8">
        <f>(L160 + 'Lån Översikt'!$D$50)</f>
        <v>44169</v>
      </c>
      <c r="N160" s="8">
        <f>IF('Lån Översikt'!$D$22 = "JA", 
    IF(Q160 = TRUE, 'Lån Översikt'!$D$24 - M160, 'Lån Översikt'!$D$24 - M160 + 18300), 
    'Lån Översikt'!$D$24 - M160)
</f>
        <v>5631</v>
      </c>
      <c r="O160" s="25" t="b">
        <f t="shared" si="5"/>
        <v>0</v>
      </c>
      <c r="P160" s="26" t="b">
        <f t="shared" si="6"/>
        <v>0</v>
      </c>
      <c r="Q160" s="27" t="b">
        <f t="shared" si="8"/>
        <v>0</v>
      </c>
    </row>
    <row r="161">
      <c r="F161" s="8">
        <v>158.0</v>
      </c>
      <c r="G161" s="11">
        <f t="shared" si="1"/>
        <v>2768750</v>
      </c>
      <c r="H161" s="9">
        <f>INT(IF(AND('Lån Översikt'!$D$7="JA", 'Lån Översikt'!$D$11="JA", 'Lån Översikt'!$D$8="JA"), (G161*(('Lån Översikt'!$C$7/100*'Lån Översikt'!$C$11/100)-'Lån Översikt'!$C$8/100))/12, IF(AND('Lån Översikt'!$D$7="JA", 'Lån Översikt'!$D$11="JA", 'Lån Översikt'!$D$8="NEJ"), (G161*(('Lån Översikt'!$C$7/100*'Lån Översikt'!$C$11/100))/12), 0)))
</f>
        <v>7076</v>
      </c>
      <c r="I161" s="8">
        <f t="shared" si="2"/>
        <v>4712</v>
      </c>
      <c r="J161" s="8">
        <f>IF(AND(P161, O161), 0, IF(O161, INT((('Lån Översikt'!$C$5 * 1 / 100) / 12)), INT((('Lån Översikt'!$C$5 * 'Lån Översikt'!$C$15 / 100) / 12))))
</f>
        <v>6250</v>
      </c>
      <c r="K161" s="8">
        <f t="shared" si="3"/>
        <v>4166</v>
      </c>
      <c r="L161" s="8">
        <f t="shared" si="4"/>
        <v>22204</v>
      </c>
      <c r="M161" s="8">
        <f>(L161 + 'Lån Översikt'!$D$50)</f>
        <v>44153</v>
      </c>
      <c r="N161" s="8">
        <f>IF('Lån Översikt'!$D$22 = "JA", 
    IF(Q161 = TRUE, 'Lån Översikt'!$D$24 - M161, 'Lån Översikt'!$D$24 - M161 + 18300), 
    'Lån Översikt'!$D$24 - M161)
</f>
        <v>5647</v>
      </c>
      <c r="O161" s="25" t="b">
        <f t="shared" si="5"/>
        <v>0</v>
      </c>
      <c r="P161" s="26" t="b">
        <f t="shared" si="6"/>
        <v>0</v>
      </c>
      <c r="Q161" s="27" t="b">
        <f t="shared" si="8"/>
        <v>0</v>
      </c>
    </row>
    <row r="162">
      <c r="F162" s="8">
        <v>159.0</v>
      </c>
      <c r="G162" s="11">
        <f t="shared" si="1"/>
        <v>2762500</v>
      </c>
      <c r="H162" s="9">
        <f>INT(IF(AND('Lån Översikt'!$D$7="JA", 'Lån Översikt'!$D$11="JA", 'Lån Översikt'!$D$8="JA"), (G162*(('Lån Översikt'!$C$7/100*'Lån Översikt'!$C$11/100)-'Lån Översikt'!$C$8/100))/12, IF(AND('Lån Översikt'!$D$7="JA", 'Lån Översikt'!$D$11="JA", 'Lån Översikt'!$D$8="NEJ"), (G162*(('Lån Översikt'!$C$7/100*'Lån Översikt'!$C$11/100))/12), 0)))
</f>
        <v>7060</v>
      </c>
      <c r="I162" s="8">
        <f t="shared" si="2"/>
        <v>4712</v>
      </c>
      <c r="J162" s="8">
        <f>IF(AND(P162, O162), 0, IF(O162, INT((('Lån Översikt'!$C$5 * 1 / 100) / 12)), INT((('Lån Översikt'!$C$5 * 'Lån Översikt'!$C$15 / 100) / 12))))
</f>
        <v>6250</v>
      </c>
      <c r="K162" s="8">
        <f t="shared" si="3"/>
        <v>4166</v>
      </c>
      <c r="L162" s="8">
        <f t="shared" si="4"/>
        <v>22188</v>
      </c>
      <c r="M162" s="8">
        <f>(L162 + 'Lån Översikt'!$D$50)</f>
        <v>44137</v>
      </c>
      <c r="N162" s="8">
        <f>IF('Lån Översikt'!$D$22 = "JA", 
    IF(Q162 = TRUE, 'Lån Översikt'!$D$24 - M162, 'Lån Översikt'!$D$24 - M162 + 18300), 
    'Lån Översikt'!$D$24 - M162)
</f>
        <v>5663</v>
      </c>
      <c r="O162" s="25" t="b">
        <f t="shared" si="5"/>
        <v>0</v>
      </c>
      <c r="P162" s="26" t="b">
        <f t="shared" si="6"/>
        <v>0</v>
      </c>
      <c r="Q162" s="27" t="b">
        <f t="shared" si="8"/>
        <v>0</v>
      </c>
    </row>
    <row r="163">
      <c r="F163" s="8">
        <v>160.0</v>
      </c>
      <c r="G163" s="11">
        <f t="shared" si="1"/>
        <v>2756250</v>
      </c>
      <c r="H163" s="9">
        <f>INT(IF(AND('Lån Översikt'!$D$7="JA", 'Lån Översikt'!$D$11="JA", 'Lån Översikt'!$D$8="JA"), (G163*(('Lån Översikt'!$C$7/100*'Lån Översikt'!$C$11/100)-'Lån Översikt'!$C$8/100))/12, IF(AND('Lån Översikt'!$D$7="JA", 'Lån Översikt'!$D$11="JA", 'Lån Översikt'!$D$8="NEJ"), (G163*(('Lån Översikt'!$C$7/100*'Lån Översikt'!$C$11/100))/12), 0)))
</f>
        <v>7044</v>
      </c>
      <c r="I163" s="8">
        <f t="shared" si="2"/>
        <v>4712</v>
      </c>
      <c r="J163" s="8">
        <f>IF(AND(P163, O163), 0, IF(O163, INT((('Lån Översikt'!$C$5 * 1 / 100) / 12)), INT((('Lån Översikt'!$C$5 * 'Lån Översikt'!$C$15 / 100) / 12))))
</f>
        <v>6250</v>
      </c>
      <c r="K163" s="8">
        <f t="shared" si="3"/>
        <v>4166</v>
      </c>
      <c r="L163" s="8">
        <f t="shared" si="4"/>
        <v>22172</v>
      </c>
      <c r="M163" s="8">
        <f>(L163 + 'Lån Översikt'!$D$50)</f>
        <v>44121</v>
      </c>
      <c r="N163" s="8">
        <f>IF('Lån Översikt'!$D$22 = "JA", 
    IF(Q163 = TRUE, 'Lån Översikt'!$D$24 - M163, 'Lån Översikt'!$D$24 - M163 + 18300), 
    'Lån Översikt'!$D$24 - M163)
</f>
        <v>5679</v>
      </c>
      <c r="O163" s="25" t="b">
        <f t="shared" si="5"/>
        <v>0</v>
      </c>
      <c r="P163" s="26" t="b">
        <f t="shared" si="6"/>
        <v>0</v>
      </c>
      <c r="Q163" s="27" t="b">
        <f t="shared" si="8"/>
        <v>0</v>
      </c>
    </row>
    <row r="164">
      <c r="F164" s="8">
        <v>161.0</v>
      </c>
      <c r="G164" s="11">
        <f t="shared" si="1"/>
        <v>2750000</v>
      </c>
      <c r="H164" s="9">
        <f>INT(IF(AND('Lån Översikt'!$D$7="JA", 'Lån Översikt'!$D$11="JA", 'Lån Översikt'!$D$8="JA"), (G164*(('Lån Översikt'!$C$7/100*'Lån Översikt'!$C$11/100)-'Lån Översikt'!$C$8/100))/12, IF(AND('Lån Översikt'!$D$7="JA", 'Lån Översikt'!$D$11="JA", 'Lån Översikt'!$D$8="NEJ"), (G164*(('Lån Översikt'!$C$7/100*'Lån Översikt'!$C$11/100))/12), 0)))
</f>
        <v>7028</v>
      </c>
      <c r="I164" s="8">
        <f t="shared" si="2"/>
        <v>4712</v>
      </c>
      <c r="J164" s="8">
        <f>IF(AND(P164, O164), 0, IF(O164, INT((('Lån Översikt'!$C$5 * 1 / 100) / 12)), INT((('Lån Översikt'!$C$5 * 'Lån Översikt'!$C$15 / 100) / 12))))
</f>
        <v>6250</v>
      </c>
      <c r="K164" s="8">
        <f t="shared" si="3"/>
        <v>4166</v>
      </c>
      <c r="L164" s="8">
        <f t="shared" si="4"/>
        <v>22156</v>
      </c>
      <c r="M164" s="8">
        <f>(L164 + 'Lån Översikt'!$D$50)</f>
        <v>44105</v>
      </c>
      <c r="N164" s="8">
        <f>IF('Lån Översikt'!$D$22 = "JA", 
    IF(Q164 = TRUE, 'Lån Översikt'!$D$24 - M164, 'Lån Översikt'!$D$24 - M164 + 18300), 
    'Lån Översikt'!$D$24 - M164)
</f>
        <v>5695</v>
      </c>
      <c r="O164" s="25" t="b">
        <f t="shared" si="5"/>
        <v>0</v>
      </c>
      <c r="P164" s="26" t="b">
        <f t="shared" si="6"/>
        <v>0</v>
      </c>
      <c r="Q164" s="27" t="b">
        <f t="shared" si="8"/>
        <v>0</v>
      </c>
    </row>
    <row r="165">
      <c r="F165" s="8">
        <v>162.0</v>
      </c>
      <c r="G165" s="11">
        <f t="shared" si="1"/>
        <v>2743750</v>
      </c>
      <c r="H165" s="9">
        <f>INT(IF(AND('Lån Översikt'!$D$7="JA", 'Lån Översikt'!$D$11="JA", 'Lån Översikt'!$D$8="JA"), (G165*(('Lån Översikt'!$C$7/100*'Lån Översikt'!$C$11/100)-'Lån Översikt'!$C$8/100))/12, IF(AND('Lån Översikt'!$D$7="JA", 'Lån Översikt'!$D$11="JA", 'Lån Översikt'!$D$8="NEJ"), (G165*(('Lån Översikt'!$C$7/100*'Lån Översikt'!$C$11/100))/12), 0)))
</f>
        <v>7012</v>
      </c>
      <c r="I165" s="8">
        <f t="shared" si="2"/>
        <v>4712</v>
      </c>
      <c r="J165" s="8">
        <f>IF(AND(P165, O165), 0, IF(O165, INT((('Lån Översikt'!$C$5 * 1 / 100) / 12)), INT((('Lån Översikt'!$C$5 * 'Lån Översikt'!$C$15 / 100) / 12))))
</f>
        <v>6250</v>
      </c>
      <c r="K165" s="8">
        <f t="shared" si="3"/>
        <v>4166</v>
      </c>
      <c r="L165" s="8">
        <f t="shared" si="4"/>
        <v>22140</v>
      </c>
      <c r="M165" s="8">
        <f>(L165 + 'Lån Översikt'!$D$50)</f>
        <v>44089</v>
      </c>
      <c r="N165" s="8">
        <f>IF('Lån Översikt'!$D$22 = "JA", 
    IF(Q165 = TRUE, 'Lån Översikt'!$D$24 - M165, 'Lån Översikt'!$D$24 - M165 + 18300), 
    'Lån Översikt'!$D$24 - M165)
</f>
        <v>5711</v>
      </c>
      <c r="O165" s="25" t="b">
        <f t="shared" si="5"/>
        <v>0</v>
      </c>
      <c r="P165" s="26" t="b">
        <f t="shared" si="6"/>
        <v>0</v>
      </c>
      <c r="Q165" s="27" t="b">
        <f t="shared" si="8"/>
        <v>0</v>
      </c>
    </row>
    <row r="166">
      <c r="F166" s="8">
        <v>163.0</v>
      </c>
      <c r="G166" s="11">
        <f t="shared" si="1"/>
        <v>2737500</v>
      </c>
      <c r="H166" s="9">
        <f>INT(IF(AND('Lån Översikt'!$D$7="JA", 'Lån Översikt'!$D$11="JA", 'Lån Översikt'!$D$8="JA"), (G166*(('Lån Översikt'!$C$7/100*'Lån Översikt'!$C$11/100)-'Lån Översikt'!$C$8/100))/12, IF(AND('Lån Översikt'!$D$7="JA", 'Lån Översikt'!$D$11="JA", 'Lån Översikt'!$D$8="NEJ"), (G166*(('Lån Översikt'!$C$7/100*'Lån Översikt'!$C$11/100))/12), 0)))
</f>
        <v>6996</v>
      </c>
      <c r="I166" s="8">
        <f t="shared" si="2"/>
        <v>4712</v>
      </c>
      <c r="J166" s="8">
        <f>IF(AND(P166, O166), 0, IF(O166, INT((('Lån Översikt'!$C$5 * 1 / 100) / 12)), INT((('Lån Översikt'!$C$5 * 'Lån Översikt'!$C$15 / 100) / 12))))
</f>
        <v>6250</v>
      </c>
      <c r="K166" s="8">
        <f t="shared" si="3"/>
        <v>4166</v>
      </c>
      <c r="L166" s="8">
        <f t="shared" si="4"/>
        <v>22124</v>
      </c>
      <c r="M166" s="8">
        <f>(L166 + 'Lån Översikt'!$D$50)</f>
        <v>44073</v>
      </c>
      <c r="N166" s="8">
        <f>IF('Lån Översikt'!$D$22 = "JA", 
    IF(Q166 = TRUE, 'Lån Översikt'!$D$24 - M166, 'Lån Översikt'!$D$24 - M166 + 18300), 
    'Lån Översikt'!$D$24 - M166)
</f>
        <v>5727</v>
      </c>
      <c r="O166" s="25" t="b">
        <f t="shared" si="5"/>
        <v>0</v>
      </c>
      <c r="P166" s="26" t="b">
        <f t="shared" si="6"/>
        <v>0</v>
      </c>
      <c r="Q166" s="27" t="b">
        <f t="shared" si="8"/>
        <v>0</v>
      </c>
    </row>
    <row r="167">
      <c r="F167" s="8">
        <v>164.0</v>
      </c>
      <c r="G167" s="11">
        <f t="shared" si="1"/>
        <v>2731250</v>
      </c>
      <c r="H167" s="9">
        <f>INT(IF(AND('Lån Översikt'!$D$7="JA", 'Lån Översikt'!$D$11="JA", 'Lån Översikt'!$D$8="JA"), (G167*(('Lån Översikt'!$C$7/100*'Lån Översikt'!$C$11/100)-'Lån Översikt'!$C$8/100))/12, IF(AND('Lån Översikt'!$D$7="JA", 'Lån Översikt'!$D$11="JA", 'Lån Översikt'!$D$8="NEJ"), (G167*(('Lån Översikt'!$C$7/100*'Lån Översikt'!$C$11/100))/12), 0)))
</f>
        <v>6980</v>
      </c>
      <c r="I167" s="8">
        <f t="shared" si="2"/>
        <v>4712</v>
      </c>
      <c r="J167" s="8">
        <f>IF(AND(P167, O167), 0, IF(O167, INT((('Lån Översikt'!$C$5 * 1 / 100) / 12)), INT((('Lån Översikt'!$C$5 * 'Lån Översikt'!$C$15 / 100) / 12))))
</f>
        <v>6250</v>
      </c>
      <c r="K167" s="8">
        <f t="shared" si="3"/>
        <v>4166</v>
      </c>
      <c r="L167" s="8">
        <f t="shared" si="4"/>
        <v>22108</v>
      </c>
      <c r="M167" s="8">
        <f>(L167 + 'Lån Översikt'!$D$50)</f>
        <v>44057</v>
      </c>
      <c r="N167" s="8">
        <f>IF('Lån Översikt'!$D$22 = "JA", 
    IF(Q167 = TRUE, 'Lån Översikt'!$D$24 - M167, 'Lån Översikt'!$D$24 - M167 + 18300), 
    'Lån Översikt'!$D$24 - M167)
</f>
        <v>5743</v>
      </c>
      <c r="O167" s="25" t="b">
        <f t="shared" si="5"/>
        <v>0</v>
      </c>
      <c r="P167" s="26" t="b">
        <f t="shared" si="6"/>
        <v>0</v>
      </c>
      <c r="Q167" s="27" t="b">
        <f t="shared" si="8"/>
        <v>0</v>
      </c>
    </row>
    <row r="168">
      <c r="F168" s="8">
        <v>165.0</v>
      </c>
      <c r="G168" s="11">
        <f t="shared" si="1"/>
        <v>2725000</v>
      </c>
      <c r="H168" s="9">
        <f>INT(IF(AND('Lån Översikt'!$D$7="JA", 'Lån Översikt'!$D$11="JA", 'Lån Översikt'!$D$8="JA"), (G168*(('Lån Översikt'!$C$7/100*'Lån Översikt'!$C$11/100)-'Lån Översikt'!$C$8/100))/12, IF(AND('Lån Översikt'!$D$7="JA", 'Lån Översikt'!$D$11="JA", 'Lån Översikt'!$D$8="NEJ"), (G168*(('Lån Översikt'!$C$7/100*'Lån Översikt'!$C$11/100))/12), 0)))
</f>
        <v>6964</v>
      </c>
      <c r="I168" s="8">
        <f t="shared" si="2"/>
        <v>4712</v>
      </c>
      <c r="J168" s="8">
        <f>IF(AND(P168, O168), 0, IF(O168, INT((('Lån Översikt'!$C$5 * 1 / 100) / 12)), INT((('Lån Översikt'!$C$5 * 'Lån Översikt'!$C$15 / 100) / 12))))
</f>
        <v>6250</v>
      </c>
      <c r="K168" s="8">
        <f t="shared" si="3"/>
        <v>4166</v>
      </c>
      <c r="L168" s="8">
        <f t="shared" si="4"/>
        <v>22092</v>
      </c>
      <c r="M168" s="8">
        <f>(L168 + 'Lån Översikt'!$D$50)</f>
        <v>44041</v>
      </c>
      <c r="N168" s="8">
        <f>IF('Lån Översikt'!$D$22 = "JA", 
    IF(Q168 = TRUE, 'Lån Översikt'!$D$24 - M168, 'Lån Översikt'!$D$24 - M168 + 18300), 
    'Lån Översikt'!$D$24 - M168)
</f>
        <v>5759</v>
      </c>
      <c r="O168" s="25" t="b">
        <f t="shared" si="5"/>
        <v>0</v>
      </c>
      <c r="P168" s="26" t="b">
        <f t="shared" si="6"/>
        <v>0</v>
      </c>
      <c r="Q168" s="27" t="b">
        <f t="shared" si="8"/>
        <v>0</v>
      </c>
    </row>
    <row r="169">
      <c r="F169" s="8">
        <v>166.0</v>
      </c>
      <c r="G169" s="11">
        <f t="shared" si="1"/>
        <v>2718750</v>
      </c>
      <c r="H169" s="9">
        <f>INT(IF(AND('Lån Översikt'!$D$7="JA", 'Lån Översikt'!$D$11="JA", 'Lån Översikt'!$D$8="JA"), (G169*(('Lån Översikt'!$C$7/100*'Lån Översikt'!$C$11/100)-'Lån Översikt'!$C$8/100))/12, IF(AND('Lån Översikt'!$D$7="JA", 'Lån Översikt'!$D$11="JA", 'Lån Översikt'!$D$8="NEJ"), (G169*(('Lån Översikt'!$C$7/100*'Lån Översikt'!$C$11/100))/12), 0)))
</f>
        <v>6948</v>
      </c>
      <c r="I169" s="8">
        <f t="shared" si="2"/>
        <v>4712</v>
      </c>
      <c r="J169" s="8">
        <f>IF(AND(P169, O169), 0, IF(O169, INT((('Lån Översikt'!$C$5 * 1 / 100) / 12)), INT((('Lån Översikt'!$C$5 * 'Lån Översikt'!$C$15 / 100) / 12))))
</f>
        <v>6250</v>
      </c>
      <c r="K169" s="8">
        <f t="shared" si="3"/>
        <v>4166</v>
      </c>
      <c r="L169" s="8">
        <f t="shared" si="4"/>
        <v>22076</v>
      </c>
      <c r="M169" s="8">
        <f>(L169 + 'Lån Översikt'!$D$50)</f>
        <v>44025</v>
      </c>
      <c r="N169" s="8">
        <f>IF('Lån Översikt'!$D$22 = "JA", 
    IF(Q169 = TRUE, 'Lån Översikt'!$D$24 - M169, 'Lån Översikt'!$D$24 - M169 + 18300), 
    'Lån Översikt'!$D$24 - M169)
</f>
        <v>5775</v>
      </c>
      <c r="O169" s="25" t="b">
        <f t="shared" si="5"/>
        <v>0</v>
      </c>
      <c r="P169" s="26" t="b">
        <f t="shared" si="6"/>
        <v>0</v>
      </c>
      <c r="Q169" s="27" t="b">
        <f t="shared" si="8"/>
        <v>0</v>
      </c>
    </row>
    <row r="170">
      <c r="F170" s="8">
        <v>167.0</v>
      </c>
      <c r="G170" s="11">
        <f t="shared" si="1"/>
        <v>2712500</v>
      </c>
      <c r="H170" s="9">
        <f>INT(IF(AND('Lån Översikt'!$D$7="JA", 'Lån Översikt'!$D$11="JA", 'Lån Översikt'!$D$8="JA"), (G170*(('Lån Översikt'!$C$7/100*'Lån Översikt'!$C$11/100)-'Lån Översikt'!$C$8/100))/12, IF(AND('Lån Översikt'!$D$7="JA", 'Lån Översikt'!$D$11="JA", 'Lån Översikt'!$D$8="NEJ"), (G170*(('Lån Översikt'!$C$7/100*'Lån Översikt'!$C$11/100))/12), 0)))
</f>
        <v>6932</v>
      </c>
      <c r="I170" s="8">
        <f t="shared" si="2"/>
        <v>4712</v>
      </c>
      <c r="J170" s="8">
        <f>IF(AND(P170, O170), 0, IF(O170, INT((('Lån Översikt'!$C$5 * 1 / 100) / 12)), INT((('Lån Översikt'!$C$5 * 'Lån Översikt'!$C$15 / 100) / 12))))
</f>
        <v>6250</v>
      </c>
      <c r="K170" s="8">
        <f t="shared" si="3"/>
        <v>4166</v>
      </c>
      <c r="L170" s="8">
        <f t="shared" si="4"/>
        <v>22060</v>
      </c>
      <c r="M170" s="8">
        <f>(L170 + 'Lån Översikt'!$D$50)</f>
        <v>44009</v>
      </c>
      <c r="N170" s="8">
        <f>IF('Lån Översikt'!$D$22 = "JA", 
    IF(Q170 = TRUE, 'Lån Översikt'!$D$24 - M170, 'Lån Översikt'!$D$24 - M170 + 18300), 
    'Lån Översikt'!$D$24 - M170)
</f>
        <v>5791</v>
      </c>
      <c r="O170" s="25" t="b">
        <f t="shared" si="5"/>
        <v>0</v>
      </c>
      <c r="P170" s="26" t="b">
        <f t="shared" si="6"/>
        <v>0</v>
      </c>
      <c r="Q170" s="27" t="b">
        <f t="shared" si="8"/>
        <v>0</v>
      </c>
    </row>
    <row r="171">
      <c r="F171" s="8">
        <v>168.0</v>
      </c>
      <c r="G171" s="11">
        <f t="shared" si="1"/>
        <v>2706250</v>
      </c>
      <c r="H171" s="9">
        <f>INT(IF(AND('Lån Översikt'!$D$7="JA", 'Lån Översikt'!$D$11="JA", 'Lån Översikt'!$D$8="JA"), (G171*(('Lån Översikt'!$C$7/100*'Lån Översikt'!$C$11/100)-'Lån Översikt'!$C$8/100))/12, IF(AND('Lån Översikt'!$D$7="JA", 'Lån Översikt'!$D$11="JA", 'Lån Översikt'!$D$8="NEJ"), (G171*(('Lån Översikt'!$C$7/100*'Lån Översikt'!$C$11/100))/12), 0)))
</f>
        <v>6916</v>
      </c>
      <c r="I171" s="8">
        <f t="shared" si="2"/>
        <v>4712</v>
      </c>
      <c r="J171" s="8">
        <f>IF(AND(P171, O171), 0, IF(O171, INT((('Lån Översikt'!$C$5 * 1 / 100) / 12)), INT((('Lån Översikt'!$C$5 * 'Lån Översikt'!$C$15 / 100) / 12))))
</f>
        <v>6250</v>
      </c>
      <c r="K171" s="8">
        <f t="shared" si="3"/>
        <v>4166</v>
      </c>
      <c r="L171" s="8">
        <f t="shared" si="4"/>
        <v>22044</v>
      </c>
      <c r="M171" s="8">
        <f>(L171 + 'Lån Översikt'!$D$50)</f>
        <v>43993</v>
      </c>
      <c r="N171" s="8">
        <f>IF('Lån Översikt'!$D$22 = "JA", 
    IF(Q171 = TRUE, 'Lån Översikt'!$D$24 - M171, 'Lån Översikt'!$D$24 - M171 + 18300), 
    'Lån Översikt'!$D$24 - M171)
</f>
        <v>5807</v>
      </c>
      <c r="O171" s="25" t="b">
        <f t="shared" si="5"/>
        <v>0</v>
      </c>
      <c r="P171" s="26" t="b">
        <f t="shared" si="6"/>
        <v>0</v>
      </c>
      <c r="Q171" s="27" t="b">
        <f t="shared" si="8"/>
        <v>0</v>
      </c>
    </row>
    <row r="172">
      <c r="F172" s="8">
        <v>169.0</v>
      </c>
      <c r="G172" s="11">
        <f t="shared" si="1"/>
        <v>2700000</v>
      </c>
      <c r="H172" s="9">
        <f>INT(IF(AND('Lån Översikt'!$D$7="JA", 'Lån Översikt'!$D$11="JA", 'Lån Översikt'!$D$8="JA"), (G172*(('Lån Översikt'!$C$7/100*'Lån Översikt'!$C$11/100)-'Lån Översikt'!$C$8/100))/12, IF(AND('Lån Översikt'!$D$7="JA", 'Lån Översikt'!$D$11="JA", 'Lån Översikt'!$D$8="NEJ"), (G172*(('Lån Översikt'!$C$7/100*'Lån Översikt'!$C$11/100))/12), 0)))
</f>
        <v>6900</v>
      </c>
      <c r="I172" s="8">
        <f t="shared" si="2"/>
        <v>4712</v>
      </c>
      <c r="J172" s="8">
        <f>IF(AND(P172, O172), 0, IF(O172, INT((('Lån Översikt'!$C$5 * 1 / 100) / 12)), INT((('Lån Översikt'!$C$5 * 'Lån Översikt'!$C$15 / 100) / 12))))
</f>
        <v>6250</v>
      </c>
      <c r="K172" s="8">
        <f t="shared" si="3"/>
        <v>4166</v>
      </c>
      <c r="L172" s="8">
        <f t="shared" si="4"/>
        <v>22028</v>
      </c>
      <c r="M172" s="8">
        <f>(L172 + 'Lån Översikt'!$D$50)</f>
        <v>43977</v>
      </c>
      <c r="N172" s="8">
        <f>IF('Lån Översikt'!$D$22 = "JA", 
    IF(Q172 = TRUE, 'Lån Översikt'!$D$24 - M172, 'Lån Översikt'!$D$24 - M172 + 18300), 
    'Lån Översikt'!$D$24 - M172)
</f>
        <v>5823</v>
      </c>
      <c r="O172" s="25" t="b">
        <f t="shared" si="5"/>
        <v>0</v>
      </c>
      <c r="P172" s="26" t="b">
        <f t="shared" si="6"/>
        <v>0</v>
      </c>
      <c r="Q172" s="27" t="b">
        <f t="shared" si="8"/>
        <v>0</v>
      </c>
    </row>
    <row r="173">
      <c r="F173" s="8">
        <v>170.0</v>
      </c>
      <c r="G173" s="11">
        <f t="shared" si="1"/>
        <v>2693750</v>
      </c>
      <c r="H173" s="9">
        <f>INT(IF(AND('Lån Översikt'!$D$7="JA", 'Lån Översikt'!$D$11="JA", 'Lån Översikt'!$D$8="JA"), (G173*(('Lån Översikt'!$C$7/100*'Lån Översikt'!$C$11/100)-'Lån Översikt'!$C$8/100))/12, IF(AND('Lån Översikt'!$D$7="JA", 'Lån Översikt'!$D$11="JA", 'Lån Översikt'!$D$8="NEJ"), (G173*(('Lån Översikt'!$C$7/100*'Lån Översikt'!$C$11/100))/12), 0)))
</f>
        <v>6884</v>
      </c>
      <c r="I173" s="8">
        <f t="shared" si="2"/>
        <v>4712</v>
      </c>
      <c r="J173" s="8">
        <f>IF(AND(P173, O173), 0, IF(O173, INT((('Lån Översikt'!$C$5 * 1 / 100) / 12)), INT((('Lån Översikt'!$C$5 * 'Lån Översikt'!$C$15 / 100) / 12))))
</f>
        <v>6250</v>
      </c>
      <c r="K173" s="8">
        <f t="shared" si="3"/>
        <v>4166</v>
      </c>
      <c r="L173" s="8">
        <f t="shared" si="4"/>
        <v>22012</v>
      </c>
      <c r="M173" s="8">
        <f>(L173 + 'Lån Översikt'!$D$50)</f>
        <v>43961</v>
      </c>
      <c r="N173" s="8">
        <f>IF('Lån Översikt'!$D$22 = "JA", 
    IF(Q173 = TRUE, 'Lån Översikt'!$D$24 - M173, 'Lån Översikt'!$D$24 - M173 + 18300), 
    'Lån Översikt'!$D$24 - M173)
</f>
        <v>5839</v>
      </c>
      <c r="O173" s="25" t="b">
        <f t="shared" si="5"/>
        <v>0</v>
      </c>
      <c r="P173" s="26" t="b">
        <f t="shared" si="6"/>
        <v>0</v>
      </c>
      <c r="Q173" s="27" t="b">
        <f t="shared" si="8"/>
        <v>0</v>
      </c>
    </row>
    <row r="174">
      <c r="F174" s="8">
        <v>171.0</v>
      </c>
      <c r="G174" s="11">
        <f t="shared" si="1"/>
        <v>2687500</v>
      </c>
      <c r="H174" s="9">
        <f>INT(IF(AND('Lån Översikt'!$D$7="JA", 'Lån Översikt'!$D$11="JA", 'Lån Översikt'!$D$8="JA"), (G174*(('Lån Översikt'!$C$7/100*'Lån Översikt'!$C$11/100)-'Lån Översikt'!$C$8/100))/12, IF(AND('Lån Översikt'!$D$7="JA", 'Lån Översikt'!$D$11="JA", 'Lån Översikt'!$D$8="NEJ"), (G174*(('Lån Översikt'!$C$7/100*'Lån Översikt'!$C$11/100))/12), 0)))
</f>
        <v>6868</v>
      </c>
      <c r="I174" s="8">
        <f t="shared" si="2"/>
        <v>4712</v>
      </c>
      <c r="J174" s="8">
        <f>IF(AND(P174, O174), 0, IF(O174, INT((('Lån Översikt'!$C$5 * 1 / 100) / 12)), INT((('Lån Översikt'!$C$5 * 'Lån Översikt'!$C$15 / 100) / 12))))
</f>
        <v>6250</v>
      </c>
      <c r="K174" s="8">
        <f t="shared" si="3"/>
        <v>4166</v>
      </c>
      <c r="L174" s="8">
        <f t="shared" si="4"/>
        <v>21996</v>
      </c>
      <c r="M174" s="8">
        <f>(L174 + 'Lån Översikt'!$D$50)</f>
        <v>43945</v>
      </c>
      <c r="N174" s="8">
        <f>IF('Lån Översikt'!$D$22 = "JA", 
    IF(Q174 = TRUE, 'Lån Översikt'!$D$24 - M174, 'Lån Översikt'!$D$24 - M174 + 18300), 
    'Lån Översikt'!$D$24 - M174)
</f>
        <v>5855</v>
      </c>
      <c r="O174" s="25" t="b">
        <f t="shared" si="5"/>
        <v>0</v>
      </c>
      <c r="P174" s="26" t="b">
        <f t="shared" si="6"/>
        <v>0</v>
      </c>
      <c r="Q174" s="27" t="b">
        <f t="shared" si="8"/>
        <v>0</v>
      </c>
    </row>
    <row r="175">
      <c r="F175" s="8">
        <v>172.0</v>
      </c>
      <c r="G175" s="11">
        <f t="shared" si="1"/>
        <v>2681250</v>
      </c>
      <c r="H175" s="9">
        <f>INT(IF(AND('Lån Översikt'!$D$7="JA", 'Lån Översikt'!$D$11="JA", 'Lån Översikt'!$D$8="JA"), (G175*(('Lån Översikt'!$C$7/100*'Lån Översikt'!$C$11/100)-'Lån Översikt'!$C$8/100))/12, IF(AND('Lån Översikt'!$D$7="JA", 'Lån Översikt'!$D$11="JA", 'Lån Översikt'!$D$8="NEJ"), (G175*(('Lån Översikt'!$C$7/100*'Lån Översikt'!$C$11/100))/12), 0)))
</f>
        <v>6852</v>
      </c>
      <c r="I175" s="8">
        <f t="shared" si="2"/>
        <v>4712</v>
      </c>
      <c r="J175" s="8">
        <f>IF(AND(P175, O175), 0, IF(O175, INT((('Lån Översikt'!$C$5 * 1 / 100) / 12)), INT((('Lån Översikt'!$C$5 * 'Lån Översikt'!$C$15 / 100) / 12))))
</f>
        <v>6250</v>
      </c>
      <c r="K175" s="8">
        <f t="shared" si="3"/>
        <v>4166</v>
      </c>
      <c r="L175" s="8">
        <f t="shared" si="4"/>
        <v>21980</v>
      </c>
      <c r="M175" s="8">
        <f>(L175 + 'Lån Översikt'!$D$50)</f>
        <v>43929</v>
      </c>
      <c r="N175" s="8">
        <f>IF('Lån Översikt'!$D$22 = "JA", 
    IF(Q175 = TRUE, 'Lån Översikt'!$D$24 - M175, 'Lån Översikt'!$D$24 - M175 + 18300), 
    'Lån Översikt'!$D$24 - M175)
</f>
        <v>5871</v>
      </c>
      <c r="O175" s="25" t="b">
        <f t="shared" si="5"/>
        <v>0</v>
      </c>
      <c r="P175" s="26" t="b">
        <f t="shared" si="6"/>
        <v>0</v>
      </c>
      <c r="Q175" s="27" t="b">
        <f t="shared" si="8"/>
        <v>0</v>
      </c>
    </row>
    <row r="176">
      <c r="F176" s="8">
        <v>173.0</v>
      </c>
      <c r="G176" s="11">
        <f t="shared" si="1"/>
        <v>2675000</v>
      </c>
      <c r="H176" s="9">
        <f>INT(IF(AND('Lån Översikt'!$D$7="JA", 'Lån Översikt'!$D$11="JA", 'Lån Översikt'!$D$8="JA"), (G176*(('Lån Översikt'!$C$7/100*'Lån Översikt'!$C$11/100)-'Lån Översikt'!$C$8/100))/12, IF(AND('Lån Översikt'!$D$7="JA", 'Lån Översikt'!$D$11="JA", 'Lån Översikt'!$D$8="NEJ"), (G176*(('Lån Översikt'!$C$7/100*'Lån Översikt'!$C$11/100))/12), 0)))
</f>
        <v>6836</v>
      </c>
      <c r="I176" s="8">
        <f t="shared" si="2"/>
        <v>4712</v>
      </c>
      <c r="J176" s="8">
        <f>IF(AND(P176, O176), 0, IF(O176, INT((('Lån Översikt'!$C$5 * 1 / 100) / 12)), INT((('Lån Översikt'!$C$5 * 'Lån Översikt'!$C$15 / 100) / 12))))
</f>
        <v>6250</v>
      </c>
      <c r="K176" s="8">
        <f t="shared" si="3"/>
        <v>4166</v>
      </c>
      <c r="L176" s="8">
        <f t="shared" si="4"/>
        <v>21964</v>
      </c>
      <c r="M176" s="8">
        <f>(L176 + 'Lån Översikt'!$D$50)</f>
        <v>43913</v>
      </c>
      <c r="N176" s="8">
        <f>IF('Lån Översikt'!$D$22 = "JA", 
    IF(Q176 = TRUE, 'Lån Översikt'!$D$24 - M176, 'Lån Översikt'!$D$24 - M176 + 18300), 
    'Lån Översikt'!$D$24 - M176)
</f>
        <v>5887</v>
      </c>
      <c r="O176" s="25" t="b">
        <f t="shared" si="5"/>
        <v>0</v>
      </c>
      <c r="P176" s="26" t="b">
        <f t="shared" si="6"/>
        <v>0</v>
      </c>
      <c r="Q176" s="27" t="b">
        <f t="shared" si="8"/>
        <v>0</v>
      </c>
    </row>
    <row r="177">
      <c r="F177" s="8">
        <v>174.0</v>
      </c>
      <c r="G177" s="11">
        <f t="shared" si="1"/>
        <v>2668750</v>
      </c>
      <c r="H177" s="9">
        <f>INT(IF(AND('Lån Översikt'!$D$7="JA", 'Lån Översikt'!$D$11="JA", 'Lån Översikt'!$D$8="JA"), (G177*(('Lån Översikt'!$C$7/100*'Lån Översikt'!$C$11/100)-'Lån Översikt'!$C$8/100))/12, IF(AND('Lån Översikt'!$D$7="JA", 'Lån Översikt'!$D$11="JA", 'Lån Översikt'!$D$8="NEJ"), (G177*(('Lån Översikt'!$C$7/100*'Lån Översikt'!$C$11/100))/12), 0)))
</f>
        <v>6820</v>
      </c>
      <c r="I177" s="8">
        <f t="shared" si="2"/>
        <v>4712</v>
      </c>
      <c r="J177" s="8">
        <f>IF(AND(P177, O177), 0, IF(O177, INT((('Lån Översikt'!$C$5 * 1 / 100) / 12)), INT((('Lån Översikt'!$C$5 * 'Lån Översikt'!$C$15 / 100) / 12))))
</f>
        <v>6250</v>
      </c>
      <c r="K177" s="8">
        <f t="shared" si="3"/>
        <v>4166</v>
      </c>
      <c r="L177" s="8">
        <f t="shared" si="4"/>
        <v>21948</v>
      </c>
      <c r="M177" s="8">
        <f>(L177 + 'Lån Översikt'!$D$50)</f>
        <v>43897</v>
      </c>
      <c r="N177" s="8">
        <f>IF('Lån Översikt'!$D$22 = "JA", 
    IF(Q177 = TRUE, 'Lån Översikt'!$D$24 - M177, 'Lån Översikt'!$D$24 - M177 + 18300), 
    'Lån Översikt'!$D$24 - M177)
</f>
        <v>5903</v>
      </c>
      <c r="O177" s="25" t="b">
        <f t="shared" si="5"/>
        <v>0</v>
      </c>
      <c r="P177" s="26" t="b">
        <f t="shared" si="6"/>
        <v>0</v>
      </c>
      <c r="Q177" s="27" t="b">
        <f t="shared" si="8"/>
        <v>0</v>
      </c>
    </row>
    <row r="178">
      <c r="F178" s="8">
        <v>175.0</v>
      </c>
      <c r="G178" s="11">
        <f t="shared" si="1"/>
        <v>2662500</v>
      </c>
      <c r="H178" s="9">
        <f>INT(IF(AND('Lån Översikt'!$D$7="JA", 'Lån Översikt'!$D$11="JA", 'Lån Översikt'!$D$8="JA"), (G178*(('Lån Översikt'!$C$7/100*'Lån Översikt'!$C$11/100)-'Lån Översikt'!$C$8/100))/12, IF(AND('Lån Översikt'!$D$7="JA", 'Lån Översikt'!$D$11="JA", 'Lån Översikt'!$D$8="NEJ"), (G178*(('Lån Översikt'!$C$7/100*'Lån Översikt'!$C$11/100))/12), 0)))
</f>
        <v>6804</v>
      </c>
      <c r="I178" s="8">
        <f t="shared" si="2"/>
        <v>4712</v>
      </c>
      <c r="J178" s="8">
        <f>IF(AND(P178, O178), 0, IF(O178, INT((('Lån Översikt'!$C$5 * 1 / 100) / 12)), INT((('Lån Översikt'!$C$5 * 'Lån Översikt'!$C$15 / 100) / 12))))
</f>
        <v>6250</v>
      </c>
      <c r="K178" s="8">
        <f t="shared" si="3"/>
        <v>4166</v>
      </c>
      <c r="L178" s="8">
        <f t="shared" si="4"/>
        <v>21932</v>
      </c>
      <c r="M178" s="8">
        <f>(L178 + 'Lån Översikt'!$D$50)</f>
        <v>43881</v>
      </c>
      <c r="N178" s="8">
        <f>IF('Lån Översikt'!$D$22 = "JA", 
    IF(Q178 = TRUE, 'Lån Översikt'!$D$24 - M178, 'Lån Översikt'!$D$24 - M178 + 18300), 
    'Lån Översikt'!$D$24 - M178)
</f>
        <v>5919</v>
      </c>
      <c r="O178" s="25" t="b">
        <f t="shared" si="5"/>
        <v>0</v>
      </c>
      <c r="P178" s="26" t="b">
        <f t="shared" si="6"/>
        <v>0</v>
      </c>
      <c r="Q178" s="27" t="b">
        <f t="shared" si="8"/>
        <v>0</v>
      </c>
    </row>
    <row r="179">
      <c r="F179" s="8">
        <v>176.0</v>
      </c>
      <c r="G179" s="11">
        <f t="shared" si="1"/>
        <v>2656250</v>
      </c>
      <c r="H179" s="9">
        <f>INT(IF(AND('Lån Översikt'!$D$7="JA", 'Lån Översikt'!$D$11="JA", 'Lån Översikt'!$D$8="JA"), (G179*(('Lån Översikt'!$C$7/100*'Lån Översikt'!$C$11/100)-'Lån Översikt'!$C$8/100))/12, IF(AND('Lån Översikt'!$D$7="JA", 'Lån Översikt'!$D$11="JA", 'Lån Översikt'!$D$8="NEJ"), (G179*(('Lån Översikt'!$C$7/100*'Lån Översikt'!$C$11/100))/12), 0)))
</f>
        <v>6788</v>
      </c>
      <c r="I179" s="8">
        <f t="shared" si="2"/>
        <v>4712</v>
      </c>
      <c r="J179" s="8">
        <f>IF(AND(P179, O179), 0, IF(O179, INT((('Lån Översikt'!$C$5 * 1 / 100) / 12)), INT((('Lån Översikt'!$C$5 * 'Lån Översikt'!$C$15 / 100) / 12))))
</f>
        <v>6250</v>
      </c>
      <c r="K179" s="8">
        <f t="shared" si="3"/>
        <v>4166</v>
      </c>
      <c r="L179" s="8">
        <f t="shared" si="4"/>
        <v>21916</v>
      </c>
      <c r="M179" s="8">
        <f>(L179 + 'Lån Översikt'!$D$50)</f>
        <v>43865</v>
      </c>
      <c r="N179" s="8">
        <f>IF('Lån Översikt'!$D$22 = "JA", 
    IF(Q179 = TRUE, 'Lån Översikt'!$D$24 - M179, 'Lån Översikt'!$D$24 - M179 + 18300), 
    'Lån Översikt'!$D$24 - M179)
</f>
        <v>5935</v>
      </c>
      <c r="O179" s="25" t="b">
        <f t="shared" si="5"/>
        <v>0</v>
      </c>
      <c r="P179" s="26" t="b">
        <f t="shared" si="6"/>
        <v>0</v>
      </c>
      <c r="Q179" s="27" t="b">
        <f t="shared" si="8"/>
        <v>0</v>
      </c>
    </row>
    <row r="180">
      <c r="F180" s="8">
        <v>177.0</v>
      </c>
      <c r="G180" s="11">
        <f t="shared" si="1"/>
        <v>2650000</v>
      </c>
      <c r="H180" s="9">
        <f>INT(IF(AND('Lån Översikt'!$D$7="JA", 'Lån Översikt'!$D$11="JA", 'Lån Översikt'!$D$8="JA"), (G180*(('Lån Översikt'!$C$7/100*'Lån Översikt'!$C$11/100)-'Lån Översikt'!$C$8/100))/12, IF(AND('Lån Översikt'!$D$7="JA", 'Lån Översikt'!$D$11="JA", 'Lån Översikt'!$D$8="NEJ"), (G180*(('Lån Översikt'!$C$7/100*'Lån Översikt'!$C$11/100))/12), 0)))
</f>
        <v>6772</v>
      </c>
      <c r="I180" s="8">
        <f t="shared" si="2"/>
        <v>4712</v>
      </c>
      <c r="J180" s="8">
        <f>IF(AND(P180, O180), 0, IF(O180, INT((('Lån Översikt'!$C$5 * 1 / 100) / 12)), INT((('Lån Översikt'!$C$5 * 'Lån Översikt'!$C$15 / 100) / 12))))
</f>
        <v>6250</v>
      </c>
      <c r="K180" s="8">
        <f t="shared" si="3"/>
        <v>4166</v>
      </c>
      <c r="L180" s="8">
        <f t="shared" si="4"/>
        <v>21900</v>
      </c>
      <c r="M180" s="8">
        <f>(L180 + 'Lån Översikt'!$D$50)</f>
        <v>43849</v>
      </c>
      <c r="N180" s="8">
        <f>IF('Lån Översikt'!$D$22 = "JA", 
    IF(Q180 = TRUE, 'Lån Översikt'!$D$24 - M180, 'Lån Översikt'!$D$24 - M180 + 18300), 
    'Lån Översikt'!$D$24 - M180)
</f>
        <v>5951</v>
      </c>
      <c r="O180" s="25" t="b">
        <f t="shared" si="5"/>
        <v>0</v>
      </c>
      <c r="P180" s="26" t="b">
        <f t="shared" si="6"/>
        <v>0</v>
      </c>
      <c r="Q180" s="27" t="b">
        <f t="shared" si="8"/>
        <v>0</v>
      </c>
    </row>
    <row r="181">
      <c r="F181" s="8">
        <v>178.0</v>
      </c>
      <c r="G181" s="11">
        <f t="shared" si="1"/>
        <v>2643750</v>
      </c>
      <c r="H181" s="9">
        <f>INT(IF(AND('Lån Översikt'!$D$7="JA", 'Lån Översikt'!$D$11="JA", 'Lån Översikt'!$D$8="JA"), (G181*(('Lån Översikt'!$C$7/100*'Lån Översikt'!$C$11/100)-'Lån Översikt'!$C$8/100))/12, IF(AND('Lån Översikt'!$D$7="JA", 'Lån Översikt'!$D$11="JA", 'Lån Översikt'!$D$8="NEJ"), (G181*(('Lån Översikt'!$C$7/100*'Lån Översikt'!$C$11/100))/12), 0)))
</f>
        <v>6756</v>
      </c>
      <c r="I181" s="8">
        <f t="shared" si="2"/>
        <v>4712</v>
      </c>
      <c r="J181" s="8">
        <f>IF(AND(P181, O181), 0, IF(O181, INT((('Lån Översikt'!$C$5 * 1 / 100) / 12)), INT((('Lån Översikt'!$C$5 * 'Lån Översikt'!$C$15 / 100) / 12))))
</f>
        <v>6250</v>
      </c>
      <c r="K181" s="8">
        <f t="shared" si="3"/>
        <v>4166</v>
      </c>
      <c r="L181" s="8">
        <f t="shared" si="4"/>
        <v>21884</v>
      </c>
      <c r="M181" s="8">
        <f>(L181 + 'Lån Översikt'!$D$50)</f>
        <v>43833</v>
      </c>
      <c r="N181" s="8">
        <f>IF('Lån Översikt'!$D$22 = "JA", 
    IF(Q181 = TRUE, 'Lån Översikt'!$D$24 - M181, 'Lån Översikt'!$D$24 - M181 + 18300), 
    'Lån Översikt'!$D$24 - M181)
</f>
        <v>5967</v>
      </c>
      <c r="O181" s="25" t="b">
        <f t="shared" si="5"/>
        <v>0</v>
      </c>
      <c r="P181" s="26" t="b">
        <f t="shared" si="6"/>
        <v>0</v>
      </c>
      <c r="Q181" s="27" t="b">
        <f t="shared" si="8"/>
        <v>0</v>
      </c>
    </row>
    <row r="182">
      <c r="F182" s="8">
        <v>179.0</v>
      </c>
      <c r="G182" s="11">
        <f t="shared" si="1"/>
        <v>2637500</v>
      </c>
      <c r="H182" s="9">
        <f>INT(IF(AND('Lån Översikt'!$D$7="JA", 'Lån Översikt'!$D$11="JA", 'Lån Översikt'!$D$8="JA"), (G182*(('Lån Översikt'!$C$7/100*'Lån Översikt'!$C$11/100)-'Lån Översikt'!$C$8/100))/12, IF(AND('Lån Översikt'!$D$7="JA", 'Lån Översikt'!$D$11="JA", 'Lån Översikt'!$D$8="NEJ"), (G182*(('Lån Översikt'!$C$7/100*'Lån Översikt'!$C$11/100))/12), 0)))
</f>
        <v>6741</v>
      </c>
      <c r="I182" s="8">
        <f t="shared" si="2"/>
        <v>4712</v>
      </c>
      <c r="J182" s="8">
        <f>IF(AND(P182, O182), 0, IF(O182, INT((('Lån Översikt'!$C$5 * 1 / 100) / 12)), INT((('Lån Översikt'!$C$5 * 'Lån Översikt'!$C$15 / 100) / 12))))
</f>
        <v>6250</v>
      </c>
      <c r="K182" s="8">
        <f t="shared" si="3"/>
        <v>4166</v>
      </c>
      <c r="L182" s="8">
        <f t="shared" si="4"/>
        <v>21869</v>
      </c>
      <c r="M182" s="8">
        <f>(L182 + 'Lån Översikt'!$D$50)</f>
        <v>43818</v>
      </c>
      <c r="N182" s="8">
        <f>IF('Lån Översikt'!$D$22 = "JA", 
    IF(Q182 = TRUE, 'Lån Översikt'!$D$24 - M182, 'Lån Översikt'!$D$24 - M182 + 18300), 
    'Lån Översikt'!$D$24 - M182)
</f>
        <v>5982</v>
      </c>
      <c r="O182" s="25" t="b">
        <f t="shared" si="5"/>
        <v>0</v>
      </c>
      <c r="P182" s="26" t="b">
        <f t="shared" si="6"/>
        <v>0</v>
      </c>
      <c r="Q182" s="27" t="b">
        <f t="shared" si="8"/>
        <v>0</v>
      </c>
    </row>
    <row r="183">
      <c r="F183" s="8">
        <v>180.0</v>
      </c>
      <c r="G183" s="11">
        <f t="shared" si="1"/>
        <v>2631250</v>
      </c>
      <c r="H183" s="9">
        <f>INT(IF(AND('Lån Översikt'!$D$7="JA", 'Lån Översikt'!$D$11="JA", 'Lån Översikt'!$D$8="JA"), (G183*(('Lån Översikt'!$C$7/100*'Lån Översikt'!$C$11/100)-'Lån Översikt'!$C$8/100))/12, IF(AND('Lån Översikt'!$D$7="JA", 'Lån Översikt'!$D$11="JA", 'Lån Översikt'!$D$8="NEJ"), (G183*(('Lån Översikt'!$C$7/100*'Lån Översikt'!$C$11/100))/12), 0)))
</f>
        <v>6725</v>
      </c>
      <c r="I183" s="8">
        <f t="shared" si="2"/>
        <v>4712</v>
      </c>
      <c r="J183" s="8">
        <f>IF(AND(P183, O183), 0, IF(O183, INT((('Lån Översikt'!$C$5 * 1 / 100) / 12)), INT((('Lån Översikt'!$C$5 * 'Lån Översikt'!$C$15 / 100) / 12))))
</f>
        <v>6250</v>
      </c>
      <c r="K183" s="8">
        <f t="shared" si="3"/>
        <v>4166</v>
      </c>
      <c r="L183" s="8">
        <f t="shared" si="4"/>
        <v>21853</v>
      </c>
      <c r="M183" s="8">
        <f>(L183 + 'Lån Översikt'!$D$50)</f>
        <v>43802</v>
      </c>
      <c r="N183" s="8">
        <f>IF('Lån Översikt'!$D$22 = "JA", 
    IF(Q183 = TRUE, 'Lån Översikt'!$D$24 - M183, 'Lån Översikt'!$D$24 - M183 + 18300), 
    'Lån Översikt'!$D$24 - M183)
</f>
        <v>5998</v>
      </c>
      <c r="O183" s="25" t="b">
        <f t="shared" si="5"/>
        <v>0</v>
      </c>
      <c r="P183" s="26" t="b">
        <f t="shared" si="6"/>
        <v>0</v>
      </c>
      <c r="Q183" s="27" t="b">
        <f t="shared" si="8"/>
        <v>0</v>
      </c>
    </row>
    <row r="184">
      <c r="F184" s="8">
        <v>181.0</v>
      </c>
      <c r="G184" s="11">
        <f t="shared" si="1"/>
        <v>2625000</v>
      </c>
      <c r="H184" s="9">
        <f>INT(IF(AND('Lån Översikt'!$D$7="JA", 'Lån Översikt'!$D$11="JA", 'Lån Översikt'!$D$8="JA"), (G184*(('Lån Översikt'!$C$7/100*'Lån Översikt'!$C$11/100)-'Lån Översikt'!$C$8/100))/12, IF(AND('Lån Översikt'!$D$7="JA", 'Lån Översikt'!$D$11="JA", 'Lån Översikt'!$D$8="NEJ"), (G184*(('Lån Översikt'!$C$7/100*'Lån Översikt'!$C$11/100))/12), 0)))
</f>
        <v>6709</v>
      </c>
      <c r="I184" s="8">
        <f t="shared" si="2"/>
        <v>4712</v>
      </c>
      <c r="J184" s="8">
        <f>IF(AND(P184, O184), 0, IF(O184, INT((('Lån Översikt'!$C$5 * 1 / 100) / 12)), INT((('Lån Översikt'!$C$5 * 'Lån Översikt'!$C$15 / 100) / 12))))
</f>
        <v>6250</v>
      </c>
      <c r="K184" s="8">
        <f t="shared" si="3"/>
        <v>4166</v>
      </c>
      <c r="L184" s="8">
        <f t="shared" si="4"/>
        <v>21837</v>
      </c>
      <c r="M184" s="8">
        <f>(L184 + 'Lån Översikt'!$D$50)</f>
        <v>43786</v>
      </c>
      <c r="N184" s="8">
        <f>IF('Lån Översikt'!$D$22 = "JA", 
    IF(Q184 = TRUE, 'Lån Översikt'!$D$24 - M184, 'Lån Översikt'!$D$24 - M184 + 18300), 
    'Lån Översikt'!$D$24 - M184)
</f>
        <v>6014</v>
      </c>
      <c r="O184" s="25" t="b">
        <f t="shared" si="5"/>
        <v>0</v>
      </c>
      <c r="P184" s="26" t="b">
        <f t="shared" si="6"/>
        <v>0</v>
      </c>
      <c r="Q184" s="27" t="b">
        <f t="shared" si="8"/>
        <v>0</v>
      </c>
    </row>
    <row r="185">
      <c r="F185" s="8">
        <v>182.0</v>
      </c>
      <c r="G185" s="11">
        <f t="shared" si="1"/>
        <v>2618750</v>
      </c>
      <c r="H185" s="9">
        <f>INT(IF(AND('Lån Översikt'!$D$7="JA", 'Lån Översikt'!$D$11="JA", 'Lån Översikt'!$D$8="JA"), (G185*(('Lån Översikt'!$C$7/100*'Lån Översikt'!$C$11/100)-'Lån Översikt'!$C$8/100))/12, IF(AND('Lån Översikt'!$D$7="JA", 'Lån Översikt'!$D$11="JA", 'Lån Översikt'!$D$8="NEJ"), (G185*(('Lån Översikt'!$C$7/100*'Lån Översikt'!$C$11/100))/12), 0)))
</f>
        <v>6693</v>
      </c>
      <c r="I185" s="8">
        <f t="shared" si="2"/>
        <v>4712</v>
      </c>
      <c r="J185" s="8">
        <f>IF(AND(P185, O185), 0, IF(O185, INT((('Lån Översikt'!$C$5 * 1 / 100) / 12)), INT((('Lån Översikt'!$C$5 * 'Lån Översikt'!$C$15 / 100) / 12))))
</f>
        <v>3125</v>
      </c>
      <c r="K185" s="8">
        <f t="shared" si="3"/>
        <v>4166</v>
      </c>
      <c r="L185" s="8">
        <f t="shared" si="4"/>
        <v>18696</v>
      </c>
      <c r="M185" s="8">
        <f>(L185 + 'Lån Översikt'!$D$50)</f>
        <v>40645</v>
      </c>
      <c r="N185" s="8">
        <f>IF('Lån Översikt'!$D$22 = "JA", 
    IF(Q185 = TRUE, 'Lån Översikt'!$D$24 - M185, 'Lån Översikt'!$D$24 - M185 + 18300), 
    'Lån Översikt'!$D$24 - M185)
</f>
        <v>9155</v>
      </c>
      <c r="O185" s="25" t="b">
        <f t="shared" si="5"/>
        <v>1</v>
      </c>
      <c r="P185" s="26" t="b">
        <f t="shared" si="6"/>
        <v>0</v>
      </c>
      <c r="Q185" s="27" t="b">
        <f t="shared" si="8"/>
        <v>0</v>
      </c>
    </row>
    <row r="186">
      <c r="F186" s="8">
        <v>183.0</v>
      </c>
      <c r="G186" s="11">
        <f t="shared" si="1"/>
        <v>2615625</v>
      </c>
      <c r="H186" s="9">
        <f>INT(IF(AND('Lån Översikt'!$D$7="JA", 'Lån Översikt'!$D$11="JA", 'Lån Översikt'!$D$8="JA"), (G186*(('Lån Översikt'!$C$7/100*'Lån Översikt'!$C$11/100)-'Lån Översikt'!$C$8/100))/12, IF(AND('Lån Översikt'!$D$7="JA", 'Lån Översikt'!$D$11="JA", 'Lån Översikt'!$D$8="NEJ"), (G186*(('Lån Översikt'!$C$7/100*'Lån Översikt'!$C$11/100))/12), 0)))
</f>
        <v>6685</v>
      </c>
      <c r="I186" s="8">
        <f t="shared" si="2"/>
        <v>4712</v>
      </c>
      <c r="J186" s="8">
        <f>IF(AND(P186, O186), 0, IF(O186, INT((('Lån Översikt'!$C$5 * 1 / 100) / 12)), INT((('Lån Översikt'!$C$5 * 'Lån Översikt'!$C$15 / 100) / 12))))
</f>
        <v>3125</v>
      </c>
      <c r="K186" s="8">
        <f t="shared" si="3"/>
        <v>4166</v>
      </c>
      <c r="L186" s="8">
        <f t="shared" si="4"/>
        <v>18688</v>
      </c>
      <c r="M186" s="8">
        <f>(L186 + 'Lån Översikt'!$D$50)</f>
        <v>40637</v>
      </c>
      <c r="N186" s="8">
        <f>IF('Lån Översikt'!$D$22 = "JA", 
    IF(Q186 = TRUE, 'Lån Översikt'!$D$24 - M186, 'Lån Översikt'!$D$24 - M186 + 18300), 
    'Lån Översikt'!$D$24 - M186)
</f>
        <v>9163</v>
      </c>
      <c r="O186" s="25" t="b">
        <f t="shared" si="5"/>
        <v>1</v>
      </c>
      <c r="P186" s="26" t="b">
        <f t="shared" si="6"/>
        <v>0</v>
      </c>
      <c r="Q186" s="27" t="b">
        <f t="shared" si="8"/>
        <v>0</v>
      </c>
    </row>
    <row r="187">
      <c r="F187" s="8">
        <v>184.0</v>
      </c>
      <c r="G187" s="11">
        <f t="shared" si="1"/>
        <v>2612500</v>
      </c>
      <c r="H187" s="9">
        <f>INT(IF(AND('Lån Översikt'!$D$7="JA", 'Lån Översikt'!$D$11="JA", 'Lån Översikt'!$D$8="JA"), (G187*(('Lån Översikt'!$C$7/100*'Lån Översikt'!$C$11/100)-'Lån Översikt'!$C$8/100))/12, IF(AND('Lån Översikt'!$D$7="JA", 'Lån Översikt'!$D$11="JA", 'Lån Översikt'!$D$8="NEJ"), (G187*(('Lån Översikt'!$C$7/100*'Lån Översikt'!$C$11/100))/12), 0)))
</f>
        <v>6677</v>
      </c>
      <c r="I187" s="8">
        <f t="shared" si="2"/>
        <v>4712</v>
      </c>
      <c r="J187" s="8">
        <f>IF(AND(P187, O187), 0, IF(O187, INT((('Lån Översikt'!$C$5 * 1 / 100) / 12)), INT((('Lån Översikt'!$C$5 * 'Lån Översikt'!$C$15 / 100) / 12))))
</f>
        <v>3125</v>
      </c>
      <c r="K187" s="8">
        <f t="shared" si="3"/>
        <v>4166</v>
      </c>
      <c r="L187" s="8">
        <f t="shared" si="4"/>
        <v>18680</v>
      </c>
      <c r="M187" s="8">
        <f>(L187 + 'Lån Översikt'!$D$50)</f>
        <v>40629</v>
      </c>
      <c r="N187" s="8">
        <f>IF('Lån Översikt'!$D$22 = "JA", 
    IF(Q187 = TRUE, 'Lån Översikt'!$D$24 - M187, 'Lån Översikt'!$D$24 - M187 + 18300), 
    'Lån Översikt'!$D$24 - M187)
</f>
        <v>9171</v>
      </c>
      <c r="O187" s="25" t="b">
        <f t="shared" si="5"/>
        <v>1</v>
      </c>
      <c r="P187" s="26" t="b">
        <f t="shared" si="6"/>
        <v>0</v>
      </c>
      <c r="Q187" s="27" t="b">
        <f t="shared" si="8"/>
        <v>0</v>
      </c>
    </row>
    <row r="188">
      <c r="F188" s="8">
        <v>185.0</v>
      </c>
      <c r="G188" s="11">
        <f t="shared" si="1"/>
        <v>2609375</v>
      </c>
      <c r="H188" s="9">
        <f>INT(IF(AND('Lån Översikt'!$D$7="JA", 'Lån Översikt'!$D$11="JA", 'Lån Översikt'!$D$8="JA"), (G188*(('Lån Översikt'!$C$7/100*'Lån Översikt'!$C$11/100)-'Lån Översikt'!$C$8/100))/12, IF(AND('Lån Översikt'!$D$7="JA", 'Lån Översikt'!$D$11="JA", 'Lån Översikt'!$D$8="NEJ"), (G188*(('Lån Översikt'!$C$7/100*'Lån Översikt'!$C$11/100))/12), 0)))
</f>
        <v>6669</v>
      </c>
      <c r="I188" s="8">
        <f t="shared" si="2"/>
        <v>4712</v>
      </c>
      <c r="J188" s="8">
        <f>IF(AND(P188, O188), 0, IF(O188, INT((('Lån Översikt'!$C$5 * 1 / 100) / 12)), INT((('Lån Översikt'!$C$5 * 'Lån Översikt'!$C$15 / 100) / 12))))
</f>
        <v>3125</v>
      </c>
      <c r="K188" s="8">
        <f t="shared" si="3"/>
        <v>4166</v>
      </c>
      <c r="L188" s="8">
        <f t="shared" si="4"/>
        <v>18672</v>
      </c>
      <c r="M188" s="8">
        <f>(L188 + 'Lån Översikt'!$D$50)</f>
        <v>40621</v>
      </c>
      <c r="N188" s="8">
        <f>IF('Lån Översikt'!$D$22 = "JA", 
    IF(Q188 = TRUE, 'Lån Översikt'!$D$24 - M188, 'Lån Översikt'!$D$24 - M188 + 18300), 
    'Lån Översikt'!$D$24 - M188)
</f>
        <v>9179</v>
      </c>
      <c r="O188" s="25" t="b">
        <f t="shared" si="5"/>
        <v>1</v>
      </c>
      <c r="P188" s="26" t="b">
        <f t="shared" si="6"/>
        <v>0</v>
      </c>
      <c r="Q188" s="27" t="b">
        <f t="shared" si="8"/>
        <v>0</v>
      </c>
    </row>
    <row r="189">
      <c r="F189" s="8">
        <v>186.0</v>
      </c>
      <c r="G189" s="11">
        <f t="shared" si="1"/>
        <v>2606250</v>
      </c>
      <c r="H189" s="9">
        <f>INT(IF(AND('Lån Översikt'!$D$7="JA", 'Lån Översikt'!$D$11="JA", 'Lån Översikt'!$D$8="JA"), (G189*(('Lån Översikt'!$C$7/100*'Lån Översikt'!$C$11/100)-'Lån Översikt'!$C$8/100))/12, IF(AND('Lån Översikt'!$D$7="JA", 'Lån Översikt'!$D$11="JA", 'Lån Översikt'!$D$8="NEJ"), (G189*(('Lån Översikt'!$C$7/100*'Lån Översikt'!$C$11/100))/12), 0)))
</f>
        <v>6661</v>
      </c>
      <c r="I189" s="8">
        <f t="shared" si="2"/>
        <v>4712</v>
      </c>
      <c r="J189" s="8">
        <f>IF(AND(P189, O189), 0, IF(O189, INT((('Lån Översikt'!$C$5 * 1 / 100) / 12)), INT((('Lån Översikt'!$C$5 * 'Lån Översikt'!$C$15 / 100) / 12))))
</f>
        <v>3125</v>
      </c>
      <c r="K189" s="8">
        <f t="shared" si="3"/>
        <v>4166</v>
      </c>
      <c r="L189" s="8">
        <f t="shared" si="4"/>
        <v>18664</v>
      </c>
      <c r="M189" s="8">
        <f>(L189 + 'Lån Översikt'!$D$50)</f>
        <v>40613</v>
      </c>
      <c r="N189" s="8">
        <f>IF('Lån Översikt'!$D$22 = "JA", 
    IF(Q189 = TRUE, 'Lån Översikt'!$D$24 - M189, 'Lån Översikt'!$D$24 - M189 + 18300), 
    'Lån Översikt'!$D$24 - M189)
</f>
        <v>9187</v>
      </c>
      <c r="O189" s="25" t="b">
        <f t="shared" si="5"/>
        <v>1</v>
      </c>
      <c r="P189" s="26" t="b">
        <f t="shared" si="6"/>
        <v>0</v>
      </c>
      <c r="Q189" s="27" t="b">
        <f t="shared" si="8"/>
        <v>0</v>
      </c>
    </row>
    <row r="190">
      <c r="F190" s="8">
        <v>187.0</v>
      </c>
      <c r="G190" s="11">
        <f t="shared" si="1"/>
        <v>2603125</v>
      </c>
      <c r="H190" s="9">
        <f>INT(IF(AND('Lån Översikt'!$D$7="JA", 'Lån Översikt'!$D$11="JA", 'Lån Översikt'!$D$8="JA"), (G190*(('Lån Översikt'!$C$7/100*'Lån Översikt'!$C$11/100)-'Lån Översikt'!$C$8/100))/12, IF(AND('Lån Översikt'!$D$7="JA", 'Lån Översikt'!$D$11="JA", 'Lån Översikt'!$D$8="NEJ"), (G190*(('Lån Översikt'!$C$7/100*'Lån Översikt'!$C$11/100))/12), 0)))
</f>
        <v>6653</v>
      </c>
      <c r="I190" s="8">
        <f t="shared" si="2"/>
        <v>4712</v>
      </c>
      <c r="J190" s="8">
        <f>IF(AND(P190, O190), 0, IF(O190, INT((('Lån Översikt'!$C$5 * 1 / 100) / 12)), INT((('Lån Översikt'!$C$5 * 'Lån Översikt'!$C$15 / 100) / 12))))
</f>
        <v>3125</v>
      </c>
      <c r="K190" s="8">
        <f t="shared" si="3"/>
        <v>4166</v>
      </c>
      <c r="L190" s="8">
        <f t="shared" si="4"/>
        <v>18656</v>
      </c>
      <c r="M190" s="8">
        <f>(L190 + 'Lån Översikt'!$D$50)</f>
        <v>40605</v>
      </c>
      <c r="N190" s="8">
        <f>IF('Lån Översikt'!$D$22 = "JA", 
    IF(Q190 = TRUE, 'Lån Översikt'!$D$24 - M190, 'Lån Översikt'!$D$24 - M190 + 18300), 
    'Lån Översikt'!$D$24 - M190)
</f>
        <v>9195</v>
      </c>
      <c r="O190" s="25" t="b">
        <f t="shared" si="5"/>
        <v>1</v>
      </c>
      <c r="P190" s="26" t="b">
        <f t="shared" si="6"/>
        <v>0</v>
      </c>
      <c r="Q190" s="27" t="b">
        <f t="shared" si="8"/>
        <v>0</v>
      </c>
    </row>
    <row r="191">
      <c r="F191" s="8">
        <v>188.0</v>
      </c>
      <c r="G191" s="11">
        <f t="shared" si="1"/>
        <v>2600000</v>
      </c>
      <c r="H191" s="9">
        <f>INT(IF(AND('Lån Översikt'!$D$7="JA", 'Lån Översikt'!$D$11="JA", 'Lån Översikt'!$D$8="JA"), (G191*(('Lån Översikt'!$C$7/100*'Lån Översikt'!$C$11/100)-'Lån Översikt'!$C$8/100))/12, IF(AND('Lån Översikt'!$D$7="JA", 'Lån Översikt'!$D$11="JA", 'Lån Översikt'!$D$8="NEJ"), (G191*(('Lån Översikt'!$C$7/100*'Lån Översikt'!$C$11/100))/12), 0)))
</f>
        <v>6645</v>
      </c>
      <c r="I191" s="8">
        <f t="shared" si="2"/>
        <v>4712</v>
      </c>
      <c r="J191" s="8">
        <f>IF(AND(P191, O191), 0, IF(O191, INT((('Lån Översikt'!$C$5 * 1 / 100) / 12)), INT((('Lån Översikt'!$C$5 * 'Lån Översikt'!$C$15 / 100) / 12))))
</f>
        <v>3125</v>
      </c>
      <c r="K191" s="8">
        <f t="shared" si="3"/>
        <v>4166</v>
      </c>
      <c r="L191" s="8">
        <f t="shared" si="4"/>
        <v>18648</v>
      </c>
      <c r="M191" s="8">
        <f>(L191 + 'Lån Översikt'!$D$50)</f>
        <v>40597</v>
      </c>
      <c r="N191" s="8">
        <f>IF('Lån Översikt'!$D$22 = "JA", 
    IF(Q191 = TRUE, 'Lån Översikt'!$D$24 - M191, 'Lån Översikt'!$D$24 - M191 + 18300), 
    'Lån Översikt'!$D$24 - M191)
</f>
        <v>9203</v>
      </c>
      <c r="O191" s="25" t="b">
        <f t="shared" si="5"/>
        <v>1</v>
      </c>
      <c r="P191" s="26" t="b">
        <f t="shared" si="6"/>
        <v>0</v>
      </c>
      <c r="Q191" s="27" t="b">
        <f t="shared" si="8"/>
        <v>0</v>
      </c>
    </row>
    <row r="192">
      <c r="F192" s="8">
        <v>189.0</v>
      </c>
      <c r="G192" s="11">
        <f t="shared" si="1"/>
        <v>2596875</v>
      </c>
      <c r="H192" s="9">
        <f>INT(IF(AND('Lån Översikt'!$D$7="JA", 'Lån Översikt'!$D$11="JA", 'Lån Översikt'!$D$8="JA"), (G192*(('Lån Översikt'!$C$7/100*'Lån Översikt'!$C$11/100)-'Lån Översikt'!$C$8/100))/12, IF(AND('Lån Översikt'!$D$7="JA", 'Lån Översikt'!$D$11="JA", 'Lån Översikt'!$D$8="NEJ"), (G192*(('Lån Översikt'!$C$7/100*'Lån Översikt'!$C$11/100))/12), 0)))
</f>
        <v>6637</v>
      </c>
      <c r="I192" s="8">
        <f t="shared" si="2"/>
        <v>4712</v>
      </c>
      <c r="J192" s="8">
        <f>IF(AND(P192, O192), 0, IF(O192, INT((('Lån Översikt'!$C$5 * 1 / 100) / 12)), INT((('Lån Översikt'!$C$5 * 'Lån Översikt'!$C$15 / 100) / 12))))
</f>
        <v>3125</v>
      </c>
      <c r="K192" s="8">
        <f t="shared" si="3"/>
        <v>4166</v>
      </c>
      <c r="L192" s="8">
        <f t="shared" si="4"/>
        <v>18640</v>
      </c>
      <c r="M192" s="8">
        <f>(L192 + 'Lån Översikt'!$D$50)</f>
        <v>40589</v>
      </c>
      <c r="N192" s="8">
        <f>IF('Lån Översikt'!$D$22 = "JA", 
    IF(Q192 = TRUE, 'Lån Översikt'!$D$24 - M192, 'Lån Översikt'!$D$24 - M192 + 18300), 
    'Lån Översikt'!$D$24 - M192)
</f>
        <v>9211</v>
      </c>
      <c r="O192" s="25" t="b">
        <f t="shared" si="5"/>
        <v>1</v>
      </c>
      <c r="P192" s="26" t="b">
        <f t="shared" si="6"/>
        <v>0</v>
      </c>
      <c r="Q192" s="27" t="b">
        <f t="shared" si="8"/>
        <v>0</v>
      </c>
    </row>
    <row r="193">
      <c r="F193" s="8">
        <v>190.0</v>
      </c>
      <c r="G193" s="11">
        <f t="shared" si="1"/>
        <v>2593750</v>
      </c>
      <c r="H193" s="9">
        <f>INT(IF(AND('Lån Översikt'!$D$7="JA", 'Lån Översikt'!$D$11="JA", 'Lån Översikt'!$D$8="JA"), (G193*(('Lån Översikt'!$C$7/100*'Lån Översikt'!$C$11/100)-'Lån Översikt'!$C$8/100))/12, IF(AND('Lån Översikt'!$D$7="JA", 'Lån Översikt'!$D$11="JA", 'Lån Översikt'!$D$8="NEJ"), (G193*(('Lån Översikt'!$C$7/100*'Lån Översikt'!$C$11/100))/12), 0)))
</f>
        <v>6629</v>
      </c>
      <c r="I193" s="8">
        <f t="shared" si="2"/>
        <v>4712</v>
      </c>
      <c r="J193" s="8">
        <f>IF(AND(P193, O193), 0, IF(O193, INT((('Lån Översikt'!$C$5 * 1 / 100) / 12)), INT((('Lån Översikt'!$C$5 * 'Lån Översikt'!$C$15 / 100) / 12))))
</f>
        <v>3125</v>
      </c>
      <c r="K193" s="8">
        <f t="shared" si="3"/>
        <v>4166</v>
      </c>
      <c r="L193" s="8">
        <f t="shared" si="4"/>
        <v>18632</v>
      </c>
      <c r="M193" s="8">
        <f>(L193 + 'Lån Översikt'!$D$50)</f>
        <v>40581</v>
      </c>
      <c r="N193" s="8">
        <f>IF('Lån Översikt'!$D$22 = "JA", 
    IF(Q193 = TRUE, 'Lån Översikt'!$D$24 - M193, 'Lån Översikt'!$D$24 - M193 + 18300), 
    'Lån Översikt'!$D$24 - M193)
</f>
        <v>9219</v>
      </c>
      <c r="O193" s="25" t="b">
        <f t="shared" si="5"/>
        <v>1</v>
      </c>
      <c r="P193" s="26" t="b">
        <f t="shared" si="6"/>
        <v>0</v>
      </c>
      <c r="Q193" s="27" t="b">
        <f t="shared" si="8"/>
        <v>0</v>
      </c>
    </row>
    <row r="194">
      <c r="F194" s="8">
        <v>191.0</v>
      </c>
      <c r="G194" s="11">
        <f t="shared" si="1"/>
        <v>2590625</v>
      </c>
      <c r="H194" s="9">
        <f>INT(IF(AND('Lån Översikt'!$D$7="JA", 'Lån Översikt'!$D$11="JA", 'Lån Översikt'!$D$8="JA"), (G194*(('Lån Översikt'!$C$7/100*'Lån Översikt'!$C$11/100)-'Lån Översikt'!$C$8/100))/12, IF(AND('Lån Översikt'!$D$7="JA", 'Lån Översikt'!$D$11="JA", 'Lån Översikt'!$D$8="NEJ"), (G194*(('Lån Översikt'!$C$7/100*'Lån Översikt'!$C$11/100))/12), 0)))
</f>
        <v>6621</v>
      </c>
      <c r="I194" s="8">
        <f t="shared" si="2"/>
        <v>4712</v>
      </c>
      <c r="J194" s="8">
        <f>IF(AND(P194, O194), 0, IF(O194, INT((('Lån Översikt'!$C$5 * 1 / 100) / 12)), INT((('Lån Översikt'!$C$5 * 'Lån Översikt'!$C$15 / 100) / 12))))
</f>
        <v>3125</v>
      </c>
      <c r="K194" s="8">
        <f t="shared" si="3"/>
        <v>4166</v>
      </c>
      <c r="L194" s="8">
        <f t="shared" si="4"/>
        <v>18624</v>
      </c>
      <c r="M194" s="8">
        <f>(L194 + 'Lån Översikt'!$D$50)</f>
        <v>40573</v>
      </c>
      <c r="N194" s="8">
        <f>IF('Lån Översikt'!$D$22 = "JA", 
    IF(Q194 = TRUE, 'Lån Översikt'!$D$24 - M194, 'Lån Översikt'!$D$24 - M194 + 18300), 
    'Lån Översikt'!$D$24 - M194)
</f>
        <v>9227</v>
      </c>
      <c r="O194" s="25" t="b">
        <f t="shared" si="5"/>
        <v>1</v>
      </c>
      <c r="P194" s="26" t="b">
        <f t="shared" si="6"/>
        <v>0</v>
      </c>
      <c r="Q194" s="27" t="b">
        <f t="shared" si="8"/>
        <v>0</v>
      </c>
    </row>
    <row r="195">
      <c r="F195" s="8">
        <v>192.0</v>
      </c>
      <c r="G195" s="11">
        <f t="shared" si="1"/>
        <v>2587500</v>
      </c>
      <c r="H195" s="9">
        <f>INT(IF(AND('Lån Översikt'!$D$7="JA", 'Lån Översikt'!$D$11="JA", 'Lån Översikt'!$D$8="JA"), (G195*(('Lån Översikt'!$C$7/100*'Lån Översikt'!$C$11/100)-'Lån Översikt'!$C$8/100))/12, IF(AND('Lån Översikt'!$D$7="JA", 'Lån Översikt'!$D$11="JA", 'Lån Översikt'!$D$8="NEJ"), (G195*(('Lån Översikt'!$C$7/100*'Lån Översikt'!$C$11/100))/12), 0)))
</f>
        <v>6613</v>
      </c>
      <c r="I195" s="8">
        <f t="shared" si="2"/>
        <v>4712</v>
      </c>
      <c r="J195" s="8">
        <f>IF(AND(P195, O195), 0, IF(O195, INT((('Lån Översikt'!$C$5 * 1 / 100) / 12)), INT((('Lån Översikt'!$C$5 * 'Lån Översikt'!$C$15 / 100) / 12))))
</f>
        <v>3125</v>
      </c>
      <c r="K195" s="8">
        <f t="shared" si="3"/>
        <v>4166</v>
      </c>
      <c r="L195" s="8">
        <f t="shared" si="4"/>
        <v>18616</v>
      </c>
      <c r="M195" s="8">
        <f>(L195 + 'Lån Översikt'!$D$50)</f>
        <v>40565</v>
      </c>
      <c r="N195" s="8">
        <f>IF('Lån Översikt'!$D$22 = "JA", 
    IF(Q195 = TRUE, 'Lån Översikt'!$D$24 - M195, 'Lån Översikt'!$D$24 - M195 + 18300), 
    'Lån Översikt'!$D$24 - M195)
</f>
        <v>9235</v>
      </c>
      <c r="O195" s="25" t="b">
        <f t="shared" si="5"/>
        <v>1</v>
      </c>
      <c r="P195" s="26" t="b">
        <f t="shared" si="6"/>
        <v>0</v>
      </c>
      <c r="Q195" s="27" t="b">
        <f t="shared" si="8"/>
        <v>0</v>
      </c>
    </row>
    <row r="196">
      <c r="F196" s="8">
        <v>193.0</v>
      </c>
      <c r="G196" s="11">
        <f t="shared" si="1"/>
        <v>2584375</v>
      </c>
      <c r="H196" s="9">
        <f>INT(IF(AND('Lån Översikt'!$D$7="JA", 'Lån Översikt'!$D$11="JA", 'Lån Översikt'!$D$8="JA"), (G196*(('Lån Översikt'!$C$7/100*'Lån Översikt'!$C$11/100)-'Lån Översikt'!$C$8/100))/12, IF(AND('Lån Översikt'!$D$7="JA", 'Lån Översikt'!$D$11="JA", 'Lån Översikt'!$D$8="NEJ"), (G196*(('Lån Översikt'!$C$7/100*'Lån Översikt'!$C$11/100))/12), 0)))
</f>
        <v>6605</v>
      </c>
      <c r="I196" s="8">
        <f t="shared" si="2"/>
        <v>4712</v>
      </c>
      <c r="J196" s="8">
        <f>IF(AND(P196, O196), 0, IF(O196, INT((('Lån Översikt'!$C$5 * 1 / 100) / 12)), INT((('Lån Översikt'!$C$5 * 'Lån Översikt'!$C$15 / 100) / 12))))
</f>
        <v>3125</v>
      </c>
      <c r="K196" s="8">
        <f t="shared" si="3"/>
        <v>4166</v>
      </c>
      <c r="L196" s="8">
        <f t="shared" si="4"/>
        <v>18608</v>
      </c>
      <c r="M196" s="8">
        <f>(L196 + 'Lån Översikt'!$D$50)</f>
        <v>40557</v>
      </c>
      <c r="N196" s="8">
        <f>IF('Lån Översikt'!$D$22 = "JA", 
    IF(Q196 = TRUE, 'Lån Översikt'!$D$24 - M196, 'Lån Översikt'!$D$24 - M196 + 18300), 
    'Lån Översikt'!$D$24 - M196)
</f>
        <v>9243</v>
      </c>
      <c r="O196" s="25" t="b">
        <f t="shared" si="5"/>
        <v>1</v>
      </c>
      <c r="P196" s="26" t="b">
        <f t="shared" si="6"/>
        <v>0</v>
      </c>
      <c r="Q196" s="27" t="b">
        <f t="shared" si="8"/>
        <v>0</v>
      </c>
    </row>
    <row r="197">
      <c r="F197" s="8">
        <v>194.0</v>
      </c>
      <c r="G197" s="11">
        <f t="shared" si="1"/>
        <v>2581250</v>
      </c>
      <c r="H197" s="9">
        <f>INT(IF(AND('Lån Översikt'!$D$7="JA", 'Lån Översikt'!$D$11="JA", 'Lån Översikt'!$D$8="JA"), (G197*(('Lån Översikt'!$C$7/100*'Lån Översikt'!$C$11/100)-'Lån Översikt'!$C$8/100))/12, IF(AND('Lån Översikt'!$D$7="JA", 'Lån Översikt'!$D$11="JA", 'Lån Översikt'!$D$8="NEJ"), (G197*(('Lån Översikt'!$C$7/100*'Lån Översikt'!$C$11/100))/12), 0)))
</f>
        <v>6597</v>
      </c>
      <c r="I197" s="8">
        <f t="shared" si="2"/>
        <v>4712</v>
      </c>
      <c r="J197" s="8">
        <f>IF(AND(P197, O197), 0, IF(O197, INT((('Lån Översikt'!$C$5 * 1 / 100) / 12)), INT((('Lån Översikt'!$C$5 * 'Lån Översikt'!$C$15 / 100) / 12))))
</f>
        <v>3125</v>
      </c>
      <c r="K197" s="8">
        <f t="shared" si="3"/>
        <v>4166</v>
      </c>
      <c r="L197" s="8">
        <f t="shared" si="4"/>
        <v>18600</v>
      </c>
      <c r="M197" s="8">
        <f>(L197 + 'Lån Översikt'!$D$50)</f>
        <v>40549</v>
      </c>
      <c r="N197" s="8">
        <f>IF('Lån Översikt'!$D$22 = "JA", 
    IF(Q197 = TRUE, 'Lån Översikt'!$D$24 - M197, 'Lån Översikt'!$D$24 - M197 + 18300), 
    'Lån Översikt'!$D$24 - M197)
</f>
        <v>9251</v>
      </c>
      <c r="O197" s="25" t="b">
        <f t="shared" si="5"/>
        <v>1</v>
      </c>
      <c r="P197" s="26" t="b">
        <f t="shared" si="6"/>
        <v>0</v>
      </c>
      <c r="Q197" s="27" t="b">
        <f t="shared" si="8"/>
        <v>0</v>
      </c>
    </row>
    <row r="198">
      <c r="F198" s="8">
        <v>195.0</v>
      </c>
      <c r="G198" s="11">
        <f t="shared" si="1"/>
        <v>2578125</v>
      </c>
      <c r="H198" s="9">
        <f>INT(IF(AND('Lån Översikt'!$D$7="JA", 'Lån Översikt'!$D$11="JA", 'Lån Översikt'!$D$8="JA"), (G198*(('Lån Översikt'!$C$7/100*'Lån Översikt'!$C$11/100)-'Lån Översikt'!$C$8/100))/12, IF(AND('Lån Översikt'!$D$7="JA", 'Lån Översikt'!$D$11="JA", 'Lån Översikt'!$D$8="NEJ"), (G198*(('Lån Översikt'!$C$7/100*'Lån Översikt'!$C$11/100))/12), 0)))
</f>
        <v>6589</v>
      </c>
      <c r="I198" s="8">
        <f t="shared" si="2"/>
        <v>4712</v>
      </c>
      <c r="J198" s="8">
        <f>IF(AND(P198, O198), 0, IF(O198, INT((('Lån Översikt'!$C$5 * 1 / 100) / 12)), INT((('Lån Översikt'!$C$5 * 'Lån Översikt'!$C$15 / 100) / 12))))
</f>
        <v>3125</v>
      </c>
      <c r="K198" s="8">
        <f t="shared" si="3"/>
        <v>4166</v>
      </c>
      <c r="L198" s="8">
        <f t="shared" si="4"/>
        <v>18592</v>
      </c>
      <c r="M198" s="8">
        <f>(L198 + 'Lån Översikt'!$D$50)</f>
        <v>40541</v>
      </c>
      <c r="N198" s="8">
        <f>IF('Lån Översikt'!$D$22 = "JA", 
    IF(Q198 = TRUE, 'Lån Översikt'!$D$24 - M198, 'Lån Översikt'!$D$24 - M198 + 18300), 
    'Lån Översikt'!$D$24 - M198)
</f>
        <v>9259</v>
      </c>
      <c r="O198" s="25" t="b">
        <f t="shared" si="5"/>
        <v>1</v>
      </c>
      <c r="P198" s="26" t="b">
        <f t="shared" si="6"/>
        <v>0</v>
      </c>
      <c r="Q198" s="27" t="b">
        <f t="shared" si="8"/>
        <v>0</v>
      </c>
    </row>
    <row r="199">
      <c r="F199" s="8">
        <v>196.0</v>
      </c>
      <c r="G199" s="11">
        <f t="shared" si="1"/>
        <v>2575000</v>
      </c>
      <c r="H199" s="9">
        <f>INT(IF(AND('Lån Översikt'!$D$7="JA", 'Lån Översikt'!$D$11="JA", 'Lån Översikt'!$D$8="JA"), (G199*(('Lån Översikt'!$C$7/100*'Lån Översikt'!$C$11/100)-'Lån Översikt'!$C$8/100))/12, IF(AND('Lån Översikt'!$D$7="JA", 'Lån Översikt'!$D$11="JA", 'Lån Översikt'!$D$8="NEJ"), (G199*(('Lån Översikt'!$C$7/100*'Lån Översikt'!$C$11/100))/12), 0)))
</f>
        <v>6581</v>
      </c>
      <c r="I199" s="8">
        <f t="shared" si="2"/>
        <v>4712</v>
      </c>
      <c r="J199" s="8">
        <f>IF(AND(P199, O199), 0, IF(O199, INT((('Lån Översikt'!$C$5 * 1 / 100) / 12)), INT((('Lån Översikt'!$C$5 * 'Lån Översikt'!$C$15 / 100) / 12))))
</f>
        <v>3125</v>
      </c>
      <c r="K199" s="8">
        <f t="shared" si="3"/>
        <v>4166</v>
      </c>
      <c r="L199" s="8">
        <f t="shared" si="4"/>
        <v>18584</v>
      </c>
      <c r="M199" s="8">
        <f>(L199 + 'Lån Översikt'!$D$50)</f>
        <v>40533</v>
      </c>
      <c r="N199" s="8">
        <f>IF('Lån Översikt'!$D$22 = "JA", 
    IF(Q199 = TRUE, 'Lån Översikt'!$D$24 - M199, 'Lån Översikt'!$D$24 - M199 + 18300), 
    'Lån Översikt'!$D$24 - M199)
</f>
        <v>9267</v>
      </c>
      <c r="O199" s="25" t="b">
        <f t="shared" si="5"/>
        <v>1</v>
      </c>
      <c r="P199" s="26" t="b">
        <f t="shared" si="6"/>
        <v>0</v>
      </c>
      <c r="Q199" s="27" t="b">
        <f t="shared" si="8"/>
        <v>0</v>
      </c>
    </row>
    <row r="200">
      <c r="F200" s="8">
        <v>197.0</v>
      </c>
      <c r="G200" s="11">
        <f t="shared" si="1"/>
        <v>2571875</v>
      </c>
      <c r="H200" s="9">
        <f>INT(IF(AND('Lån Översikt'!$D$7="JA", 'Lån Översikt'!$D$11="JA", 'Lån Översikt'!$D$8="JA"), (G200*(('Lån Översikt'!$C$7/100*'Lån Översikt'!$C$11/100)-'Lån Översikt'!$C$8/100))/12, IF(AND('Lån Översikt'!$D$7="JA", 'Lån Översikt'!$D$11="JA", 'Lån Översikt'!$D$8="NEJ"), (G200*(('Lån Översikt'!$C$7/100*'Lån Översikt'!$C$11/100))/12), 0)))
</f>
        <v>6573</v>
      </c>
      <c r="I200" s="8">
        <f t="shared" si="2"/>
        <v>4712</v>
      </c>
      <c r="J200" s="8">
        <f>IF(AND(P200, O200), 0, IF(O200, INT((('Lån Översikt'!$C$5 * 1 / 100) / 12)), INT((('Lån Översikt'!$C$5 * 'Lån Översikt'!$C$15 / 100) / 12))))
</f>
        <v>3125</v>
      </c>
      <c r="K200" s="8">
        <f t="shared" si="3"/>
        <v>4166</v>
      </c>
      <c r="L200" s="8">
        <f t="shared" si="4"/>
        <v>18576</v>
      </c>
      <c r="M200" s="8">
        <f>(L200 + 'Lån Översikt'!$D$50)</f>
        <v>40525</v>
      </c>
      <c r="N200" s="8">
        <f>IF('Lån Översikt'!$D$22 = "JA", 
    IF(Q200 = TRUE, 'Lån Översikt'!$D$24 - M200, 'Lån Översikt'!$D$24 - M200 + 18300), 
    'Lån Översikt'!$D$24 - M200)
</f>
        <v>9275</v>
      </c>
      <c r="O200" s="25" t="b">
        <f t="shared" si="5"/>
        <v>1</v>
      </c>
      <c r="P200" s="26" t="b">
        <f t="shared" si="6"/>
        <v>0</v>
      </c>
      <c r="Q200" s="27" t="b">
        <f t="shared" si="8"/>
        <v>0</v>
      </c>
    </row>
    <row r="201">
      <c r="F201" s="8">
        <v>198.0</v>
      </c>
      <c r="G201" s="11">
        <f t="shared" si="1"/>
        <v>2568750</v>
      </c>
      <c r="H201" s="9">
        <f>INT(IF(AND('Lån Översikt'!$D$7="JA", 'Lån Översikt'!$D$11="JA", 'Lån Översikt'!$D$8="JA"), (G201*(('Lån Översikt'!$C$7/100*'Lån Översikt'!$C$11/100)-'Lån Översikt'!$C$8/100))/12, IF(AND('Lån Översikt'!$D$7="JA", 'Lån Översikt'!$D$11="JA", 'Lån Översikt'!$D$8="NEJ"), (G201*(('Lån Översikt'!$C$7/100*'Lån Översikt'!$C$11/100))/12), 0)))
</f>
        <v>6565</v>
      </c>
      <c r="I201" s="8">
        <f t="shared" si="2"/>
        <v>4712</v>
      </c>
      <c r="J201" s="8">
        <f>IF(AND(P201, O201), 0, IF(O201, INT((('Lån Översikt'!$C$5 * 1 / 100) / 12)), INT((('Lån Översikt'!$C$5 * 'Lån Översikt'!$C$15 / 100) / 12))))
</f>
        <v>3125</v>
      </c>
      <c r="K201" s="8">
        <f t="shared" si="3"/>
        <v>4166</v>
      </c>
      <c r="L201" s="8">
        <f t="shared" si="4"/>
        <v>18568</v>
      </c>
      <c r="M201" s="8">
        <f>(L201 + 'Lån Översikt'!$D$50)</f>
        <v>40517</v>
      </c>
      <c r="N201" s="8">
        <f>IF('Lån Översikt'!$D$22 = "JA", 
    IF(Q201 = TRUE, 'Lån Översikt'!$D$24 - M201, 'Lån Översikt'!$D$24 - M201 + 18300), 
    'Lån Översikt'!$D$24 - M201)
</f>
        <v>9283</v>
      </c>
      <c r="O201" s="25" t="b">
        <f t="shared" si="5"/>
        <v>1</v>
      </c>
      <c r="P201" s="26" t="b">
        <f t="shared" si="6"/>
        <v>0</v>
      </c>
      <c r="Q201" s="27" t="b">
        <f t="shared" si="8"/>
        <v>0</v>
      </c>
    </row>
    <row r="202">
      <c r="F202" s="8">
        <v>199.0</v>
      </c>
      <c r="G202" s="11">
        <f t="shared" si="1"/>
        <v>2565625</v>
      </c>
      <c r="H202" s="9">
        <f>INT(IF(AND('Lån Översikt'!$D$7="JA", 'Lån Översikt'!$D$11="JA", 'Lån Översikt'!$D$8="JA"), (G202*(('Lån Översikt'!$C$7/100*'Lån Översikt'!$C$11/100)-'Lån Översikt'!$C$8/100))/12, IF(AND('Lån Översikt'!$D$7="JA", 'Lån Översikt'!$D$11="JA", 'Lån Översikt'!$D$8="NEJ"), (G202*(('Lån Översikt'!$C$7/100*'Lån Översikt'!$C$11/100))/12), 0)))
</f>
        <v>6557</v>
      </c>
      <c r="I202" s="8">
        <f t="shared" si="2"/>
        <v>4712</v>
      </c>
      <c r="J202" s="8">
        <f>IF(AND(P202, O202), 0, IF(O202, INT((('Lån Översikt'!$C$5 * 1 / 100) / 12)), INT((('Lån Översikt'!$C$5 * 'Lån Översikt'!$C$15 / 100) / 12))))
</f>
        <v>3125</v>
      </c>
      <c r="K202" s="8">
        <f t="shared" si="3"/>
        <v>4166</v>
      </c>
      <c r="L202" s="8">
        <f t="shared" si="4"/>
        <v>18560</v>
      </c>
      <c r="M202" s="8">
        <f>(L202 + 'Lån Översikt'!$D$50)</f>
        <v>40509</v>
      </c>
      <c r="N202" s="8">
        <f>IF('Lån Översikt'!$D$22 = "JA", 
    IF(Q202 = TRUE, 'Lån Översikt'!$D$24 - M202, 'Lån Översikt'!$D$24 - M202 + 18300), 
    'Lån Översikt'!$D$24 - M202)
</f>
        <v>9291</v>
      </c>
      <c r="O202" s="25" t="b">
        <f t="shared" si="5"/>
        <v>1</v>
      </c>
      <c r="P202" s="26" t="b">
        <f t="shared" si="6"/>
        <v>0</v>
      </c>
      <c r="Q202" s="27" t="b">
        <f t="shared" si="8"/>
        <v>0</v>
      </c>
    </row>
    <row r="203">
      <c r="F203" s="8">
        <v>200.0</v>
      </c>
      <c r="G203" s="11">
        <f t="shared" si="1"/>
        <v>2562500</v>
      </c>
      <c r="H203" s="9">
        <f>INT(IF(AND('Lån Översikt'!$D$7="JA", 'Lån Översikt'!$D$11="JA", 'Lån Översikt'!$D$8="JA"), (G203*(('Lån Översikt'!$C$7/100*'Lån Översikt'!$C$11/100)-'Lån Översikt'!$C$8/100))/12, IF(AND('Lån Översikt'!$D$7="JA", 'Lån Översikt'!$D$11="JA", 'Lån Översikt'!$D$8="NEJ"), (G203*(('Lån Översikt'!$C$7/100*'Lån Översikt'!$C$11/100))/12), 0)))
</f>
        <v>6549</v>
      </c>
      <c r="I203" s="8">
        <f t="shared" si="2"/>
        <v>4712</v>
      </c>
      <c r="J203" s="8">
        <f>IF(AND(P203, O203), 0, IF(O203, INT((('Lån Översikt'!$C$5 * 1 / 100) / 12)), INT((('Lån Översikt'!$C$5 * 'Lån Översikt'!$C$15 / 100) / 12))))
</f>
        <v>3125</v>
      </c>
      <c r="K203" s="8">
        <f t="shared" si="3"/>
        <v>4166</v>
      </c>
      <c r="L203" s="8">
        <f t="shared" si="4"/>
        <v>18552</v>
      </c>
      <c r="M203" s="8">
        <f>(L203 + 'Lån Översikt'!$D$50)</f>
        <v>40501</v>
      </c>
      <c r="N203" s="8">
        <f>IF('Lån Översikt'!$D$22 = "JA", 
    IF(Q203 = TRUE, 'Lån Översikt'!$D$24 - M203, 'Lån Översikt'!$D$24 - M203 + 18300), 
    'Lån Översikt'!$D$24 - M203)
</f>
        <v>9299</v>
      </c>
      <c r="O203" s="25" t="b">
        <f t="shared" si="5"/>
        <v>1</v>
      </c>
      <c r="P203" s="26" t="b">
        <f t="shared" si="6"/>
        <v>0</v>
      </c>
      <c r="Q203" s="27" t="b">
        <f t="shared" si="8"/>
        <v>0</v>
      </c>
    </row>
    <row r="204">
      <c r="F204" s="8">
        <v>201.0</v>
      </c>
      <c r="G204" s="11">
        <f t="shared" si="1"/>
        <v>2559375</v>
      </c>
      <c r="H204" s="9">
        <f>INT(IF(AND('Lån Översikt'!$D$7="JA", 'Lån Översikt'!$D$11="JA", 'Lån Översikt'!$D$8="JA"), (G204*(('Lån Översikt'!$C$7/100*'Lån Översikt'!$C$11/100)-'Lån Översikt'!$C$8/100))/12, IF(AND('Lån Översikt'!$D$7="JA", 'Lån Översikt'!$D$11="JA", 'Lån Översikt'!$D$8="NEJ"), (G204*(('Lån Översikt'!$C$7/100*'Lån Översikt'!$C$11/100))/12), 0)))
</f>
        <v>6541</v>
      </c>
      <c r="I204" s="8">
        <f t="shared" si="2"/>
        <v>4712</v>
      </c>
      <c r="J204" s="8">
        <f>IF(AND(P204, O204), 0, IF(O204, INT((('Lån Översikt'!$C$5 * 1 / 100) / 12)), INT((('Lån Översikt'!$C$5 * 'Lån Översikt'!$C$15 / 100) / 12))))
</f>
        <v>3125</v>
      </c>
      <c r="K204" s="8">
        <f t="shared" si="3"/>
        <v>4166</v>
      </c>
      <c r="L204" s="8">
        <f t="shared" si="4"/>
        <v>18544</v>
      </c>
      <c r="M204" s="8">
        <f>(L204 + 'Lån Översikt'!$D$50)</f>
        <v>40493</v>
      </c>
      <c r="N204" s="8">
        <f>IF('Lån Översikt'!$D$22 = "JA", 
    IF(Q204 = TRUE, 'Lån Översikt'!$D$24 - M204, 'Lån Översikt'!$D$24 - M204 + 18300), 
    'Lån Översikt'!$D$24 - M204)
</f>
        <v>9307</v>
      </c>
      <c r="O204" s="25" t="b">
        <f t="shared" si="5"/>
        <v>1</v>
      </c>
      <c r="P204" s="26" t="b">
        <f t="shared" si="6"/>
        <v>0</v>
      </c>
      <c r="Q204" s="27" t="b">
        <f t="shared" si="8"/>
        <v>0</v>
      </c>
    </row>
    <row r="205">
      <c r="F205" s="8">
        <v>202.0</v>
      </c>
      <c r="G205" s="11">
        <f t="shared" si="1"/>
        <v>2556250</v>
      </c>
      <c r="H205" s="9">
        <f>INT(IF(AND('Lån Översikt'!$D$7="JA", 'Lån Översikt'!$D$11="JA", 'Lån Översikt'!$D$8="JA"), (G205*(('Lån Översikt'!$C$7/100*'Lån Översikt'!$C$11/100)-'Lån Översikt'!$C$8/100))/12, IF(AND('Lån Översikt'!$D$7="JA", 'Lån Översikt'!$D$11="JA", 'Lån Översikt'!$D$8="NEJ"), (G205*(('Lån Översikt'!$C$7/100*'Lån Översikt'!$C$11/100))/12), 0)))
</f>
        <v>6533</v>
      </c>
      <c r="I205" s="8">
        <f t="shared" si="2"/>
        <v>4712</v>
      </c>
      <c r="J205" s="8">
        <f>IF(AND(P205, O205), 0, IF(O205, INT((('Lån Översikt'!$C$5 * 1 / 100) / 12)), INT((('Lån Översikt'!$C$5 * 'Lån Översikt'!$C$15 / 100) / 12))))
</f>
        <v>3125</v>
      </c>
      <c r="K205" s="8">
        <f t="shared" si="3"/>
        <v>4166</v>
      </c>
      <c r="L205" s="8">
        <f t="shared" si="4"/>
        <v>18536</v>
      </c>
      <c r="M205" s="8">
        <f>(L205 + 'Lån Översikt'!$D$50)</f>
        <v>40485</v>
      </c>
      <c r="N205" s="8">
        <f>IF('Lån Översikt'!$D$22 = "JA", 
    IF(Q205 = TRUE, 'Lån Översikt'!$D$24 - M205, 'Lån Översikt'!$D$24 - M205 + 18300), 
    'Lån Översikt'!$D$24 - M205)
</f>
        <v>9315</v>
      </c>
      <c r="O205" s="25" t="b">
        <f t="shared" si="5"/>
        <v>1</v>
      </c>
      <c r="P205" s="26" t="b">
        <f t="shared" si="6"/>
        <v>0</v>
      </c>
      <c r="Q205" s="27" t="b">
        <f t="shared" si="8"/>
        <v>0</v>
      </c>
    </row>
    <row r="206">
      <c r="F206" s="8">
        <v>203.0</v>
      </c>
      <c r="G206" s="11">
        <f t="shared" si="1"/>
        <v>2553125</v>
      </c>
      <c r="H206" s="9">
        <f>INT(IF(AND('Lån Översikt'!$D$7="JA", 'Lån Översikt'!$D$11="JA", 'Lån Översikt'!$D$8="JA"), (G206*(('Lån Översikt'!$C$7/100*'Lån Översikt'!$C$11/100)-'Lån Översikt'!$C$8/100))/12, IF(AND('Lån Översikt'!$D$7="JA", 'Lån Översikt'!$D$11="JA", 'Lån Översikt'!$D$8="NEJ"), (G206*(('Lån Översikt'!$C$7/100*'Lån Översikt'!$C$11/100))/12), 0)))
</f>
        <v>6525</v>
      </c>
      <c r="I206" s="8">
        <f t="shared" si="2"/>
        <v>4712</v>
      </c>
      <c r="J206" s="8">
        <f>IF(AND(P206, O206), 0, IF(O206, INT((('Lån Översikt'!$C$5 * 1 / 100) / 12)), INT((('Lån Översikt'!$C$5 * 'Lån Översikt'!$C$15 / 100) / 12))))
</f>
        <v>3125</v>
      </c>
      <c r="K206" s="8">
        <f t="shared" si="3"/>
        <v>4166</v>
      </c>
      <c r="L206" s="8">
        <f t="shared" si="4"/>
        <v>18528</v>
      </c>
      <c r="M206" s="8">
        <f>(L206 + 'Lån Översikt'!$D$50)</f>
        <v>40477</v>
      </c>
      <c r="N206" s="8">
        <f>IF('Lån Översikt'!$D$22 = "JA", 
    IF(Q206 = TRUE, 'Lån Översikt'!$D$24 - M206, 'Lån Översikt'!$D$24 - M206 + 18300), 
    'Lån Översikt'!$D$24 - M206)
</f>
        <v>9323</v>
      </c>
      <c r="O206" s="25" t="b">
        <f t="shared" si="5"/>
        <v>1</v>
      </c>
      <c r="P206" s="26" t="b">
        <f t="shared" si="6"/>
        <v>0</v>
      </c>
      <c r="Q206" s="27" t="b">
        <f t="shared" si="8"/>
        <v>0</v>
      </c>
    </row>
    <row r="207">
      <c r="F207" s="8">
        <v>204.0</v>
      </c>
      <c r="G207" s="11">
        <f t="shared" si="1"/>
        <v>2550000</v>
      </c>
      <c r="H207" s="9">
        <f>INT(IF(AND('Lån Översikt'!$D$7="JA", 'Lån Översikt'!$D$11="JA", 'Lån Översikt'!$D$8="JA"), (G207*(('Lån Översikt'!$C$7/100*'Lån Översikt'!$C$11/100)-'Lån Översikt'!$C$8/100))/12, IF(AND('Lån Översikt'!$D$7="JA", 'Lån Översikt'!$D$11="JA", 'Lån Översikt'!$D$8="NEJ"), (G207*(('Lån Översikt'!$C$7/100*'Lån Översikt'!$C$11/100))/12), 0)))
</f>
        <v>6517</v>
      </c>
      <c r="I207" s="8">
        <f t="shared" si="2"/>
        <v>4712</v>
      </c>
      <c r="J207" s="8">
        <f>IF(AND(P207, O207), 0, IF(O207, INT((('Lån Översikt'!$C$5 * 1 / 100) / 12)), INT((('Lån Översikt'!$C$5 * 'Lån Översikt'!$C$15 / 100) / 12))))
</f>
        <v>3125</v>
      </c>
      <c r="K207" s="8">
        <f t="shared" si="3"/>
        <v>4166</v>
      </c>
      <c r="L207" s="8">
        <f t="shared" si="4"/>
        <v>18520</v>
      </c>
      <c r="M207" s="8">
        <f>(L207 + 'Lån Översikt'!$D$50)</f>
        <v>40469</v>
      </c>
      <c r="N207" s="8">
        <f>IF('Lån Översikt'!$D$22 = "JA", 
    IF(Q207 = TRUE, 'Lån Översikt'!$D$24 - M207, 'Lån Översikt'!$D$24 - M207 + 18300), 
    'Lån Översikt'!$D$24 - M207)
</f>
        <v>9331</v>
      </c>
      <c r="O207" s="25" t="b">
        <f t="shared" si="5"/>
        <v>1</v>
      </c>
      <c r="P207" s="26" t="b">
        <f t="shared" si="6"/>
        <v>0</v>
      </c>
      <c r="Q207" s="27" t="b">
        <f t="shared" si="8"/>
        <v>0</v>
      </c>
    </row>
    <row r="208">
      <c r="F208" s="8">
        <v>205.0</v>
      </c>
      <c r="G208" s="11">
        <f t="shared" si="1"/>
        <v>2546875</v>
      </c>
      <c r="H208" s="9">
        <f>INT(IF(AND('Lån Översikt'!$D$7="JA", 'Lån Översikt'!$D$11="JA", 'Lån Översikt'!$D$8="JA"), (G208*(('Lån Översikt'!$C$7/100*'Lån Översikt'!$C$11/100)-'Lån Översikt'!$C$8/100))/12, IF(AND('Lån Översikt'!$D$7="JA", 'Lån Översikt'!$D$11="JA", 'Lån Översikt'!$D$8="NEJ"), (G208*(('Lån Översikt'!$C$7/100*'Lån Översikt'!$C$11/100))/12), 0)))
</f>
        <v>6509</v>
      </c>
      <c r="I208" s="8">
        <f t="shared" si="2"/>
        <v>4712</v>
      </c>
      <c r="J208" s="8">
        <f>IF(AND(P208, O208), 0, IF(O208, INT((('Lån Översikt'!$C$5 * 1 / 100) / 12)), INT((('Lån Översikt'!$C$5 * 'Lån Översikt'!$C$15 / 100) / 12))))
</f>
        <v>3125</v>
      </c>
      <c r="K208" s="8">
        <f t="shared" si="3"/>
        <v>4166</v>
      </c>
      <c r="L208" s="8">
        <f t="shared" si="4"/>
        <v>18512</v>
      </c>
      <c r="M208" s="8">
        <f>(L208 + 'Lån Översikt'!$D$50)</f>
        <v>40461</v>
      </c>
      <c r="N208" s="8">
        <f>IF('Lån Översikt'!$D$22 = "JA", 
    IF(Q208 = TRUE, 'Lån Översikt'!$D$24 - M208, 'Lån Översikt'!$D$24 - M208 + 18300), 
    'Lån Översikt'!$D$24 - M208)
</f>
        <v>9339</v>
      </c>
      <c r="O208" s="25" t="b">
        <f t="shared" si="5"/>
        <v>1</v>
      </c>
      <c r="P208" s="26" t="b">
        <f t="shared" si="6"/>
        <v>0</v>
      </c>
      <c r="Q208" s="27" t="b">
        <f t="shared" si="8"/>
        <v>0</v>
      </c>
    </row>
    <row r="209">
      <c r="F209" s="8">
        <v>206.0</v>
      </c>
      <c r="G209" s="11">
        <f t="shared" si="1"/>
        <v>2543750</v>
      </c>
      <c r="H209" s="9">
        <f>INT(IF(AND('Lån Översikt'!$D$7="JA", 'Lån Översikt'!$D$11="JA", 'Lån Översikt'!$D$8="JA"), (G209*(('Lån Översikt'!$C$7/100*'Lån Översikt'!$C$11/100)-'Lån Översikt'!$C$8/100))/12, IF(AND('Lån Översikt'!$D$7="JA", 'Lån Översikt'!$D$11="JA", 'Lån Översikt'!$D$8="NEJ"), (G209*(('Lån Översikt'!$C$7/100*'Lån Översikt'!$C$11/100))/12), 0)))
</f>
        <v>6501</v>
      </c>
      <c r="I209" s="8">
        <f t="shared" si="2"/>
        <v>4712</v>
      </c>
      <c r="J209" s="8">
        <f>IF(AND(P209, O209), 0, IF(O209, INT((('Lån Översikt'!$C$5 * 1 / 100) / 12)), INT((('Lån Översikt'!$C$5 * 'Lån Översikt'!$C$15 / 100) / 12))))
</f>
        <v>3125</v>
      </c>
      <c r="K209" s="8">
        <f t="shared" si="3"/>
        <v>4166</v>
      </c>
      <c r="L209" s="8">
        <f t="shared" si="4"/>
        <v>18504</v>
      </c>
      <c r="M209" s="8">
        <f>(L209 + 'Lån Översikt'!$D$50)</f>
        <v>40453</v>
      </c>
      <c r="N209" s="8">
        <f>IF('Lån Översikt'!$D$22 = "JA", 
    IF(Q209 = TRUE, 'Lån Översikt'!$D$24 - M209, 'Lån Översikt'!$D$24 - M209 + 18300), 
    'Lån Översikt'!$D$24 - M209)
</f>
        <v>9347</v>
      </c>
      <c r="O209" s="25" t="b">
        <f t="shared" si="5"/>
        <v>1</v>
      </c>
      <c r="P209" s="26" t="b">
        <f t="shared" si="6"/>
        <v>0</v>
      </c>
      <c r="Q209" s="27" t="b">
        <f t="shared" si="8"/>
        <v>0</v>
      </c>
    </row>
    <row r="210">
      <c r="F210" s="8">
        <v>207.0</v>
      </c>
      <c r="G210" s="11">
        <f t="shared" si="1"/>
        <v>2540625</v>
      </c>
      <c r="H210" s="9">
        <f>INT(IF(AND('Lån Översikt'!$D$7="JA", 'Lån Översikt'!$D$11="JA", 'Lån Översikt'!$D$8="JA"), (G210*(('Lån Översikt'!$C$7/100*'Lån Översikt'!$C$11/100)-'Lån Översikt'!$C$8/100))/12, IF(AND('Lån Översikt'!$D$7="JA", 'Lån Översikt'!$D$11="JA", 'Lån Översikt'!$D$8="NEJ"), (G210*(('Lån Översikt'!$C$7/100*'Lån Översikt'!$C$11/100))/12), 0)))
</f>
        <v>6493</v>
      </c>
      <c r="I210" s="8">
        <f t="shared" si="2"/>
        <v>4712</v>
      </c>
      <c r="J210" s="8">
        <f>IF(AND(P210, O210), 0, IF(O210, INT((('Lån Översikt'!$C$5 * 1 / 100) / 12)), INT((('Lån Översikt'!$C$5 * 'Lån Översikt'!$C$15 / 100) / 12))))
</f>
        <v>3125</v>
      </c>
      <c r="K210" s="8">
        <f t="shared" si="3"/>
        <v>4166</v>
      </c>
      <c r="L210" s="8">
        <f t="shared" si="4"/>
        <v>18496</v>
      </c>
      <c r="M210" s="8">
        <f>(L210 + 'Lån Översikt'!$D$50)</f>
        <v>40445</v>
      </c>
      <c r="N210" s="8">
        <f>IF('Lån Översikt'!$D$22 = "JA", 
    IF(Q210 = TRUE, 'Lån Översikt'!$D$24 - M210, 'Lån Översikt'!$D$24 - M210 + 18300), 
    'Lån Översikt'!$D$24 - M210)
</f>
        <v>9355</v>
      </c>
      <c r="O210" s="25" t="b">
        <f t="shared" si="5"/>
        <v>1</v>
      </c>
      <c r="P210" s="26" t="b">
        <f t="shared" si="6"/>
        <v>0</v>
      </c>
      <c r="Q210" s="27" t="b">
        <f t="shared" si="8"/>
        <v>0</v>
      </c>
    </row>
    <row r="211">
      <c r="F211" s="8">
        <v>208.0</v>
      </c>
      <c r="G211" s="11">
        <f t="shared" si="1"/>
        <v>2537500</v>
      </c>
      <c r="H211" s="9">
        <f>INT(IF(AND('Lån Översikt'!$D$7="JA", 'Lån Översikt'!$D$11="JA", 'Lån Översikt'!$D$8="JA"), (G211*(('Lån Översikt'!$C$7/100*'Lån Översikt'!$C$11/100)-'Lån Översikt'!$C$8/100))/12, IF(AND('Lån Översikt'!$D$7="JA", 'Lån Översikt'!$D$11="JA", 'Lån Översikt'!$D$8="NEJ"), (G211*(('Lån Översikt'!$C$7/100*'Lån Översikt'!$C$11/100))/12), 0)))
</f>
        <v>6485</v>
      </c>
      <c r="I211" s="8">
        <f t="shared" si="2"/>
        <v>4712</v>
      </c>
      <c r="J211" s="8">
        <f>IF(AND(P211, O211), 0, IF(O211, INT((('Lån Översikt'!$C$5 * 1 / 100) / 12)), INT((('Lån Översikt'!$C$5 * 'Lån Översikt'!$C$15 / 100) / 12))))
</f>
        <v>3125</v>
      </c>
      <c r="K211" s="8">
        <f t="shared" si="3"/>
        <v>4166</v>
      </c>
      <c r="L211" s="8">
        <f t="shared" si="4"/>
        <v>18488</v>
      </c>
      <c r="M211" s="8">
        <f>(L211 + 'Lån Översikt'!$D$50)</f>
        <v>40437</v>
      </c>
      <c r="N211" s="8">
        <f>IF('Lån Översikt'!$D$22 = "JA", 
    IF(Q211 = TRUE, 'Lån Översikt'!$D$24 - M211, 'Lån Översikt'!$D$24 - M211 + 18300), 
    'Lån Översikt'!$D$24 - M211)
</f>
        <v>9363</v>
      </c>
      <c r="O211" s="25" t="b">
        <f t="shared" si="5"/>
        <v>1</v>
      </c>
      <c r="P211" s="26" t="b">
        <f t="shared" si="6"/>
        <v>0</v>
      </c>
      <c r="Q211" s="27" t="b">
        <f t="shared" si="8"/>
        <v>0</v>
      </c>
    </row>
    <row r="212">
      <c r="F212" s="8">
        <v>209.0</v>
      </c>
      <c r="G212" s="11">
        <f t="shared" si="1"/>
        <v>2534375</v>
      </c>
      <c r="H212" s="9">
        <f>INT(IF(AND('Lån Översikt'!$D$7="JA", 'Lån Översikt'!$D$11="JA", 'Lån Översikt'!$D$8="JA"), (G212*(('Lån Översikt'!$C$7/100*'Lån Översikt'!$C$11/100)-'Lån Översikt'!$C$8/100))/12, IF(AND('Lån Översikt'!$D$7="JA", 'Lån Översikt'!$D$11="JA", 'Lån Översikt'!$D$8="NEJ"), (G212*(('Lån Översikt'!$C$7/100*'Lån Översikt'!$C$11/100))/12), 0)))
</f>
        <v>6477</v>
      </c>
      <c r="I212" s="8">
        <f t="shared" si="2"/>
        <v>4712</v>
      </c>
      <c r="J212" s="8">
        <f>IF(AND(P212, O212), 0, IF(O212, INT((('Lån Översikt'!$C$5 * 1 / 100) / 12)), INT((('Lån Översikt'!$C$5 * 'Lån Översikt'!$C$15 / 100) / 12))))
</f>
        <v>3125</v>
      </c>
      <c r="K212" s="8">
        <f t="shared" si="3"/>
        <v>4166</v>
      </c>
      <c r="L212" s="8">
        <f t="shared" si="4"/>
        <v>18480</v>
      </c>
      <c r="M212" s="8">
        <f>(L212 + 'Lån Översikt'!$D$50)</f>
        <v>40429</v>
      </c>
      <c r="N212" s="8">
        <f>IF('Lån Översikt'!$D$22 = "JA", 
    IF(Q212 = TRUE, 'Lån Översikt'!$D$24 - M212, 'Lån Översikt'!$D$24 - M212 + 18300), 
    'Lån Översikt'!$D$24 - M212)
</f>
        <v>9371</v>
      </c>
      <c r="O212" s="25" t="b">
        <f t="shared" si="5"/>
        <v>1</v>
      </c>
      <c r="P212" s="26" t="b">
        <f t="shared" si="6"/>
        <v>0</v>
      </c>
      <c r="Q212" s="27" t="b">
        <f t="shared" si="8"/>
        <v>0</v>
      </c>
    </row>
    <row r="213">
      <c r="F213" s="8">
        <v>210.0</v>
      </c>
      <c r="G213" s="11">
        <f t="shared" si="1"/>
        <v>2531250</v>
      </c>
      <c r="H213" s="9">
        <f>INT(IF(AND('Lån Översikt'!$D$7="JA", 'Lån Översikt'!$D$11="JA", 'Lån Översikt'!$D$8="JA"), (G213*(('Lån Översikt'!$C$7/100*'Lån Översikt'!$C$11/100)-'Lån Översikt'!$C$8/100))/12, IF(AND('Lån Översikt'!$D$7="JA", 'Lån Översikt'!$D$11="JA", 'Lån Översikt'!$D$8="NEJ"), (G213*(('Lån Översikt'!$C$7/100*'Lån Översikt'!$C$11/100))/12), 0)))
</f>
        <v>6469</v>
      </c>
      <c r="I213" s="8">
        <f t="shared" si="2"/>
        <v>4712</v>
      </c>
      <c r="J213" s="8">
        <f>IF(AND(P213, O213), 0, IF(O213, INT((('Lån Översikt'!$C$5 * 1 / 100) / 12)), INT((('Lån Översikt'!$C$5 * 'Lån Översikt'!$C$15 / 100) / 12))))
</f>
        <v>3125</v>
      </c>
      <c r="K213" s="8">
        <f t="shared" si="3"/>
        <v>4166</v>
      </c>
      <c r="L213" s="8">
        <f t="shared" si="4"/>
        <v>18472</v>
      </c>
      <c r="M213" s="8">
        <f>(L213 + 'Lån Översikt'!$D$50)</f>
        <v>40421</v>
      </c>
      <c r="N213" s="8">
        <f>IF('Lån Översikt'!$D$22 = "JA", 
    IF(Q213 = TRUE, 'Lån Översikt'!$D$24 - M213, 'Lån Översikt'!$D$24 - M213 + 18300), 
    'Lån Översikt'!$D$24 - M213)
</f>
        <v>9379</v>
      </c>
      <c r="O213" s="25" t="b">
        <f t="shared" si="5"/>
        <v>1</v>
      </c>
      <c r="P213" s="26" t="b">
        <f t="shared" si="6"/>
        <v>0</v>
      </c>
      <c r="Q213" s="27" t="b">
        <f t="shared" si="8"/>
        <v>0</v>
      </c>
    </row>
    <row r="214">
      <c r="F214" s="8">
        <v>211.0</v>
      </c>
      <c r="G214" s="11">
        <f t="shared" si="1"/>
        <v>2528125</v>
      </c>
      <c r="H214" s="9">
        <f>INT(IF(AND('Lån Översikt'!$D$7="JA", 'Lån Översikt'!$D$11="JA", 'Lån Översikt'!$D$8="JA"), (G214*(('Lån Översikt'!$C$7/100*'Lån Översikt'!$C$11/100)-'Lån Översikt'!$C$8/100))/12, IF(AND('Lån Översikt'!$D$7="JA", 'Lån Översikt'!$D$11="JA", 'Lån Översikt'!$D$8="NEJ"), (G214*(('Lån Översikt'!$C$7/100*'Lån Översikt'!$C$11/100))/12), 0)))
</f>
        <v>6461</v>
      </c>
      <c r="I214" s="8">
        <f t="shared" si="2"/>
        <v>4712</v>
      </c>
      <c r="J214" s="8">
        <f>IF(AND(P214, O214), 0, IF(O214, INT((('Lån Översikt'!$C$5 * 1 / 100) / 12)), INT((('Lån Översikt'!$C$5 * 'Lån Översikt'!$C$15 / 100) / 12))))
</f>
        <v>3125</v>
      </c>
      <c r="K214" s="8">
        <f t="shared" si="3"/>
        <v>4166</v>
      </c>
      <c r="L214" s="8">
        <f t="shared" si="4"/>
        <v>18464</v>
      </c>
      <c r="M214" s="8">
        <f>(L214 + 'Lån Översikt'!$D$50)</f>
        <v>40413</v>
      </c>
      <c r="N214" s="8">
        <f>IF('Lån Översikt'!$D$22 = "JA", 
    IF(Q214 = TRUE, 'Lån Översikt'!$D$24 - M214, 'Lån Översikt'!$D$24 - M214 + 18300), 
    'Lån Översikt'!$D$24 - M214)
</f>
        <v>9387</v>
      </c>
      <c r="O214" s="25" t="b">
        <f t="shared" si="5"/>
        <v>1</v>
      </c>
      <c r="P214" s="26" t="b">
        <f t="shared" si="6"/>
        <v>0</v>
      </c>
      <c r="Q214" s="27" t="b">
        <f t="shared" si="8"/>
        <v>0</v>
      </c>
    </row>
    <row r="215">
      <c r="F215" s="8">
        <v>212.0</v>
      </c>
      <c r="G215" s="11">
        <f t="shared" si="1"/>
        <v>2525000</v>
      </c>
      <c r="H215" s="9">
        <f>INT(IF(AND('Lån Översikt'!$D$7="JA", 'Lån Översikt'!$D$11="JA", 'Lån Översikt'!$D$8="JA"), (G215*(('Lån Översikt'!$C$7/100*'Lån Översikt'!$C$11/100)-'Lån Översikt'!$C$8/100))/12, IF(AND('Lån Översikt'!$D$7="JA", 'Lån Översikt'!$D$11="JA", 'Lån Översikt'!$D$8="NEJ"), (G215*(('Lån Översikt'!$C$7/100*'Lån Översikt'!$C$11/100))/12), 0)))
</f>
        <v>6453</v>
      </c>
      <c r="I215" s="8">
        <f t="shared" si="2"/>
        <v>4712</v>
      </c>
      <c r="J215" s="8">
        <f>IF(AND(P215, O215), 0, IF(O215, INT((('Lån Översikt'!$C$5 * 1 / 100) / 12)), INT((('Lån Översikt'!$C$5 * 'Lån Översikt'!$C$15 / 100) / 12))))
</f>
        <v>3125</v>
      </c>
      <c r="K215" s="8">
        <f t="shared" si="3"/>
        <v>4166</v>
      </c>
      <c r="L215" s="8">
        <f t="shared" si="4"/>
        <v>18456</v>
      </c>
      <c r="M215" s="8">
        <f>(L215 + 'Lån Översikt'!$D$50)</f>
        <v>40405</v>
      </c>
      <c r="N215" s="8">
        <f>IF('Lån Översikt'!$D$22 = "JA", 
    IF(Q215 = TRUE, 'Lån Översikt'!$D$24 - M215, 'Lån Översikt'!$D$24 - M215 + 18300), 
    'Lån Översikt'!$D$24 - M215)
</f>
        <v>9395</v>
      </c>
      <c r="O215" s="25" t="b">
        <f t="shared" si="5"/>
        <v>1</v>
      </c>
      <c r="P215" s="26" t="b">
        <f t="shared" si="6"/>
        <v>0</v>
      </c>
      <c r="Q215" s="27" t="b">
        <f t="shared" si="8"/>
        <v>0</v>
      </c>
    </row>
    <row r="216">
      <c r="F216" s="8">
        <v>213.0</v>
      </c>
      <c r="G216" s="11">
        <f t="shared" si="1"/>
        <v>2521875</v>
      </c>
      <c r="H216" s="9">
        <f>INT(IF(AND('Lån Översikt'!$D$7="JA", 'Lån Översikt'!$D$11="JA", 'Lån Översikt'!$D$8="JA"), (G216*(('Lån Översikt'!$C$7/100*'Lån Översikt'!$C$11/100)-'Lån Översikt'!$C$8/100))/12, IF(AND('Lån Översikt'!$D$7="JA", 'Lån Översikt'!$D$11="JA", 'Lån Översikt'!$D$8="NEJ"), (G216*(('Lån Översikt'!$C$7/100*'Lån Översikt'!$C$11/100))/12), 0)))
</f>
        <v>6445</v>
      </c>
      <c r="I216" s="8">
        <f t="shared" si="2"/>
        <v>4712</v>
      </c>
      <c r="J216" s="8">
        <f>IF(AND(P216, O216), 0, IF(O216, INT((('Lån Översikt'!$C$5 * 1 / 100) / 12)), INT((('Lån Översikt'!$C$5 * 'Lån Översikt'!$C$15 / 100) / 12))))
</f>
        <v>3125</v>
      </c>
      <c r="K216" s="8">
        <f t="shared" si="3"/>
        <v>4166</v>
      </c>
      <c r="L216" s="8">
        <f t="shared" si="4"/>
        <v>18448</v>
      </c>
      <c r="M216" s="8">
        <f>(L216 + 'Lån Översikt'!$D$50)</f>
        <v>40397</v>
      </c>
      <c r="N216" s="8">
        <f>IF('Lån Översikt'!$D$22 = "JA", 
    IF(Q216 = TRUE, 'Lån Översikt'!$D$24 - M216, 'Lån Översikt'!$D$24 - M216 + 18300), 
    'Lån Översikt'!$D$24 - M216)
</f>
        <v>9403</v>
      </c>
      <c r="O216" s="25" t="b">
        <f t="shared" si="5"/>
        <v>1</v>
      </c>
      <c r="P216" s="26" t="b">
        <f t="shared" si="6"/>
        <v>0</v>
      </c>
      <c r="Q216" s="27" t="b">
        <f t="shared" si="8"/>
        <v>0</v>
      </c>
    </row>
    <row r="217">
      <c r="F217" s="8">
        <v>214.0</v>
      </c>
      <c r="G217" s="11">
        <f t="shared" si="1"/>
        <v>2518750</v>
      </c>
      <c r="H217" s="9">
        <f>INT(IF(AND('Lån Översikt'!$D$7="JA", 'Lån Översikt'!$D$11="JA", 'Lån Översikt'!$D$8="JA"), (G217*(('Lån Översikt'!$C$7/100*'Lån Översikt'!$C$11/100)-'Lån Översikt'!$C$8/100))/12, IF(AND('Lån Översikt'!$D$7="JA", 'Lån Översikt'!$D$11="JA", 'Lån Översikt'!$D$8="NEJ"), (G217*(('Lån Översikt'!$C$7/100*'Lån Översikt'!$C$11/100))/12), 0)))
</f>
        <v>6437</v>
      </c>
      <c r="I217" s="8">
        <f t="shared" si="2"/>
        <v>4712</v>
      </c>
      <c r="J217" s="8">
        <f>IF(AND(P217, O217), 0, IF(O217, INT((('Lån Översikt'!$C$5 * 1 / 100) / 12)), INT((('Lån Översikt'!$C$5 * 'Lån Översikt'!$C$15 / 100) / 12))))
</f>
        <v>3125</v>
      </c>
      <c r="K217" s="8">
        <f t="shared" si="3"/>
        <v>4166</v>
      </c>
      <c r="L217" s="8">
        <f t="shared" si="4"/>
        <v>18440</v>
      </c>
      <c r="M217" s="8">
        <f>(L217 + 'Lån Översikt'!$D$50)</f>
        <v>40389</v>
      </c>
      <c r="N217" s="8">
        <f>IF('Lån Översikt'!$D$22 = "JA", 
    IF(Q217 = TRUE, 'Lån Översikt'!$D$24 - M217, 'Lån Översikt'!$D$24 - M217 + 18300), 
    'Lån Översikt'!$D$24 - M217)
</f>
        <v>9411</v>
      </c>
      <c r="O217" s="25" t="b">
        <f t="shared" si="5"/>
        <v>1</v>
      </c>
      <c r="P217" s="26" t="b">
        <f t="shared" si="6"/>
        <v>0</v>
      </c>
      <c r="Q217" s="27" t="b">
        <f t="shared" si="8"/>
        <v>0</v>
      </c>
    </row>
    <row r="218">
      <c r="F218" s="8">
        <v>215.0</v>
      </c>
      <c r="G218" s="11">
        <f t="shared" si="1"/>
        <v>2515625</v>
      </c>
      <c r="H218" s="9">
        <f>INT(IF(AND('Lån Översikt'!$D$7="JA", 'Lån Översikt'!$D$11="JA", 'Lån Översikt'!$D$8="JA"), (G218*(('Lån Översikt'!$C$7/100*'Lån Översikt'!$C$11/100)-'Lån Översikt'!$C$8/100))/12, IF(AND('Lån Översikt'!$D$7="JA", 'Lån Översikt'!$D$11="JA", 'Lån Översikt'!$D$8="NEJ"), (G218*(('Lån Översikt'!$C$7/100*'Lån Översikt'!$C$11/100))/12), 0)))
</f>
        <v>6429</v>
      </c>
      <c r="I218" s="8">
        <f t="shared" si="2"/>
        <v>4712</v>
      </c>
      <c r="J218" s="8">
        <f>IF(AND(P218, O218), 0, IF(O218, INT((('Lån Översikt'!$C$5 * 1 / 100) / 12)), INT((('Lån Översikt'!$C$5 * 'Lån Översikt'!$C$15 / 100) / 12))))
</f>
        <v>3125</v>
      </c>
      <c r="K218" s="8">
        <f t="shared" si="3"/>
        <v>4166</v>
      </c>
      <c r="L218" s="8">
        <f t="shared" si="4"/>
        <v>18432</v>
      </c>
      <c r="M218" s="8">
        <f>(L218 + 'Lån Översikt'!$D$50)</f>
        <v>40381</v>
      </c>
      <c r="N218" s="8">
        <f>IF('Lån Översikt'!$D$22 = "JA", 
    IF(Q218 = TRUE, 'Lån Översikt'!$D$24 - M218, 'Lån Översikt'!$D$24 - M218 + 18300), 
    'Lån Översikt'!$D$24 - M218)
</f>
        <v>9419</v>
      </c>
      <c r="O218" s="25" t="b">
        <f t="shared" si="5"/>
        <v>1</v>
      </c>
      <c r="P218" s="26" t="b">
        <f t="shared" si="6"/>
        <v>0</v>
      </c>
      <c r="Q218" s="27" t="b">
        <f t="shared" si="8"/>
        <v>0</v>
      </c>
    </row>
    <row r="219">
      <c r="F219" s="8">
        <v>216.0</v>
      </c>
      <c r="G219" s="11">
        <f t="shared" si="1"/>
        <v>2512500</v>
      </c>
      <c r="H219" s="9">
        <f>INT(IF(AND('Lån Översikt'!$D$7="JA", 'Lån Översikt'!$D$11="JA", 'Lån Översikt'!$D$8="JA"), (G219*(('Lån Översikt'!$C$7/100*'Lån Översikt'!$C$11/100)-'Lån Översikt'!$C$8/100))/12, IF(AND('Lån Översikt'!$D$7="JA", 'Lån Översikt'!$D$11="JA", 'Lån Översikt'!$D$8="NEJ"), (G219*(('Lån Översikt'!$C$7/100*'Lån Översikt'!$C$11/100))/12), 0)))
</f>
        <v>6421</v>
      </c>
      <c r="I219" s="8">
        <f t="shared" si="2"/>
        <v>4712</v>
      </c>
      <c r="J219" s="8">
        <f>IF(AND(P219, O219), 0, IF(O219, INT((('Lån Översikt'!$C$5 * 1 / 100) / 12)), INT((('Lån Översikt'!$C$5 * 'Lån Översikt'!$C$15 / 100) / 12))))
</f>
        <v>3125</v>
      </c>
      <c r="K219" s="8">
        <f t="shared" si="3"/>
        <v>4166</v>
      </c>
      <c r="L219" s="8">
        <f t="shared" si="4"/>
        <v>18424</v>
      </c>
      <c r="M219" s="8">
        <f>(L219 + 'Lån Översikt'!$D$50)</f>
        <v>40373</v>
      </c>
      <c r="N219" s="8">
        <f>IF('Lån Översikt'!$D$22 = "JA", 
    IF(Q219 = TRUE, 'Lån Översikt'!$D$24 - M219, 'Lån Översikt'!$D$24 - M219 + 18300), 
    'Lån Översikt'!$D$24 - M219)
</f>
        <v>9427</v>
      </c>
      <c r="O219" s="25" t="b">
        <f t="shared" si="5"/>
        <v>1</v>
      </c>
      <c r="P219" s="26" t="b">
        <f t="shared" si="6"/>
        <v>0</v>
      </c>
      <c r="Q219" s="27" t="b">
        <f t="shared" si="8"/>
        <v>0</v>
      </c>
    </row>
    <row r="220">
      <c r="F220" s="8">
        <v>217.0</v>
      </c>
      <c r="G220" s="11">
        <f t="shared" si="1"/>
        <v>2509375</v>
      </c>
      <c r="H220" s="9">
        <f>INT(IF(AND('Lån Översikt'!$D$7="JA", 'Lån Översikt'!$D$11="JA", 'Lån Översikt'!$D$8="JA"), (G220*(('Lån Översikt'!$C$7/100*'Lån Översikt'!$C$11/100)-'Lån Översikt'!$C$8/100))/12, IF(AND('Lån Översikt'!$D$7="JA", 'Lån Översikt'!$D$11="JA", 'Lån Översikt'!$D$8="NEJ"), (G220*(('Lån Översikt'!$C$7/100*'Lån Översikt'!$C$11/100))/12), 0)))
</f>
        <v>6413</v>
      </c>
      <c r="I220" s="8">
        <f t="shared" si="2"/>
        <v>4712</v>
      </c>
      <c r="J220" s="8">
        <f>IF(AND(P220, O220), 0, IF(O220, INT((('Lån Översikt'!$C$5 * 1 / 100) / 12)), INT((('Lån Översikt'!$C$5 * 'Lån Översikt'!$C$15 / 100) / 12))))
</f>
        <v>3125</v>
      </c>
      <c r="K220" s="8">
        <f t="shared" si="3"/>
        <v>4166</v>
      </c>
      <c r="L220" s="8">
        <f t="shared" si="4"/>
        <v>18416</v>
      </c>
      <c r="M220" s="8">
        <f>(L220 + 'Lån Översikt'!$D$50)</f>
        <v>40365</v>
      </c>
      <c r="N220" s="8">
        <f>IF('Lån Översikt'!$D$22 = "JA", 
    IF(Q220 = TRUE, 'Lån Översikt'!$D$24 - M220, 'Lån Översikt'!$D$24 - M220 + 18300), 
    'Lån Översikt'!$D$24 - M220)
</f>
        <v>9435</v>
      </c>
      <c r="O220" s="25" t="b">
        <f t="shared" si="5"/>
        <v>1</v>
      </c>
      <c r="P220" s="26" t="b">
        <f t="shared" si="6"/>
        <v>0</v>
      </c>
      <c r="Q220" s="27" t="b">
        <f t="shared" si="8"/>
        <v>0</v>
      </c>
    </row>
    <row r="221">
      <c r="F221" s="8">
        <v>218.0</v>
      </c>
      <c r="G221" s="11">
        <f t="shared" si="1"/>
        <v>2506250</v>
      </c>
      <c r="H221" s="9">
        <f>INT(IF(AND('Lån Översikt'!$D$7="JA", 'Lån Översikt'!$D$11="JA", 'Lån Översikt'!$D$8="JA"), (G221*(('Lån Översikt'!$C$7/100*'Lån Översikt'!$C$11/100)-'Lån Översikt'!$C$8/100))/12, IF(AND('Lån Översikt'!$D$7="JA", 'Lån Översikt'!$D$11="JA", 'Lån Översikt'!$D$8="NEJ"), (G221*(('Lån Översikt'!$C$7/100*'Lån Översikt'!$C$11/100))/12), 0)))
</f>
        <v>6405</v>
      </c>
      <c r="I221" s="8">
        <f t="shared" si="2"/>
        <v>4712</v>
      </c>
      <c r="J221" s="8">
        <f>IF(AND(P221, O221), 0, IF(O221, INT((('Lån Översikt'!$C$5 * 1 / 100) / 12)), INT((('Lån Översikt'!$C$5 * 'Lån Översikt'!$C$15 / 100) / 12))))
</f>
        <v>3125</v>
      </c>
      <c r="K221" s="8">
        <f t="shared" si="3"/>
        <v>4166</v>
      </c>
      <c r="L221" s="8">
        <f t="shared" si="4"/>
        <v>18408</v>
      </c>
      <c r="M221" s="8">
        <f>(L221 + 'Lån Översikt'!$D$50)</f>
        <v>40357</v>
      </c>
      <c r="N221" s="8">
        <f>IF('Lån Översikt'!$D$22 = "JA", 
    IF(Q221 = TRUE, 'Lån Översikt'!$D$24 - M221, 'Lån Översikt'!$D$24 - M221 + 18300), 
    'Lån Översikt'!$D$24 - M221)
</f>
        <v>9443</v>
      </c>
      <c r="O221" s="25" t="b">
        <f t="shared" si="5"/>
        <v>1</v>
      </c>
      <c r="P221" s="26" t="b">
        <f t="shared" si="6"/>
        <v>0</v>
      </c>
      <c r="Q221" s="27" t="b">
        <f t="shared" si="8"/>
        <v>0</v>
      </c>
    </row>
    <row r="222">
      <c r="F222" s="8">
        <v>219.0</v>
      </c>
      <c r="G222" s="11">
        <f t="shared" si="1"/>
        <v>2503125</v>
      </c>
      <c r="H222" s="9">
        <f>INT(IF(AND('Lån Översikt'!$D$7="JA", 'Lån Översikt'!$D$11="JA", 'Lån Översikt'!$D$8="JA"), (G222*(('Lån Översikt'!$C$7/100*'Lån Översikt'!$C$11/100)-'Lån Översikt'!$C$8/100))/12, IF(AND('Lån Översikt'!$D$7="JA", 'Lån Översikt'!$D$11="JA", 'Lån Översikt'!$D$8="NEJ"), (G222*(('Lån Översikt'!$C$7/100*'Lån Översikt'!$C$11/100))/12), 0)))
</f>
        <v>6397</v>
      </c>
      <c r="I222" s="8">
        <f t="shared" si="2"/>
        <v>4712</v>
      </c>
      <c r="J222" s="8">
        <f>IF(AND(P222, O222), 0, IF(O222, INT((('Lån Översikt'!$C$5 * 1 / 100) / 12)), INT((('Lån Översikt'!$C$5 * 'Lån Översikt'!$C$15 / 100) / 12))))
</f>
        <v>3125</v>
      </c>
      <c r="K222" s="8">
        <f t="shared" si="3"/>
        <v>4166</v>
      </c>
      <c r="L222" s="8">
        <f t="shared" si="4"/>
        <v>18400</v>
      </c>
      <c r="M222" s="8">
        <f>(L222 + 'Lån Översikt'!$D$50)</f>
        <v>40349</v>
      </c>
      <c r="N222" s="8">
        <f>IF('Lån Översikt'!$D$22 = "JA", 
    IF(Q222 = TRUE, 'Lån Översikt'!$D$24 - M222, 'Lån Översikt'!$D$24 - M222 + 18300), 
    'Lån Översikt'!$D$24 - M222)
</f>
        <v>9451</v>
      </c>
      <c r="O222" s="25" t="b">
        <f t="shared" si="5"/>
        <v>1</v>
      </c>
      <c r="P222" s="26" t="b">
        <f t="shared" si="6"/>
        <v>0</v>
      </c>
      <c r="Q222" s="27" t="b">
        <f t="shared" si="8"/>
        <v>0</v>
      </c>
    </row>
    <row r="223">
      <c r="F223" s="8">
        <v>220.0</v>
      </c>
      <c r="G223" s="11">
        <f t="shared" si="1"/>
        <v>2500000</v>
      </c>
      <c r="H223" s="9">
        <f>INT(IF(AND('Lån Översikt'!$D$7="JA", 'Lån Översikt'!$D$11="JA", 'Lån Översikt'!$D$8="JA"), (G223*(('Lån Översikt'!$C$7/100*'Lån Översikt'!$C$11/100)-'Lån Översikt'!$C$8/100))/12, IF(AND('Lån Översikt'!$D$7="JA", 'Lån Översikt'!$D$11="JA", 'Lån Översikt'!$D$8="NEJ"), (G223*(('Lån Översikt'!$C$7/100*'Lån Översikt'!$C$11/100))/12), 0)))
</f>
        <v>6389</v>
      </c>
      <c r="I223" s="8">
        <f t="shared" si="2"/>
        <v>4712</v>
      </c>
      <c r="J223" s="8">
        <f>IF(AND(P223, O223), 0, IF(O223, INT((('Lån Översikt'!$C$5 * 1 / 100) / 12)), INT((('Lån Översikt'!$C$5 * 'Lån Översikt'!$C$15 / 100) / 12))))
</f>
        <v>3125</v>
      </c>
      <c r="K223" s="8">
        <f t="shared" si="3"/>
        <v>4166</v>
      </c>
      <c r="L223" s="8">
        <f t="shared" si="4"/>
        <v>18392</v>
      </c>
      <c r="M223" s="8">
        <f>(L223 + 'Lån Översikt'!$D$50)</f>
        <v>40341</v>
      </c>
      <c r="N223" s="8">
        <f>IF('Lån Översikt'!$D$22 = "JA", 
    IF(Q223 = TRUE, 'Lån Översikt'!$D$24 - M223, 'Lån Översikt'!$D$24 - M223 + 18300), 
    'Lån Översikt'!$D$24 - M223)
</f>
        <v>9459</v>
      </c>
      <c r="O223" s="25" t="b">
        <f t="shared" si="5"/>
        <v>1</v>
      </c>
      <c r="P223" s="26" t="b">
        <f t="shared" si="6"/>
        <v>0</v>
      </c>
      <c r="Q223" s="27" t="b">
        <f t="shared" si="8"/>
        <v>0</v>
      </c>
    </row>
    <row r="224">
      <c r="F224" s="8">
        <v>221.0</v>
      </c>
      <c r="G224" s="11">
        <f t="shared" si="1"/>
        <v>2496875</v>
      </c>
      <c r="H224" s="9">
        <f>INT(IF(AND('Lån Översikt'!$D$7="JA", 'Lån Översikt'!$D$11="JA", 'Lån Översikt'!$D$8="JA"), (G224*(('Lån Översikt'!$C$7/100*'Lån Översikt'!$C$11/100)-'Lån Översikt'!$C$8/100))/12, IF(AND('Lån Översikt'!$D$7="JA", 'Lån Översikt'!$D$11="JA", 'Lån Översikt'!$D$8="NEJ"), (G224*(('Lån Översikt'!$C$7/100*'Lån Översikt'!$C$11/100))/12), 0)))
</f>
        <v>6381</v>
      </c>
      <c r="I224" s="8">
        <f t="shared" si="2"/>
        <v>4712</v>
      </c>
      <c r="J224" s="8">
        <f>IF(AND(P224, O224), 0, IF(O224, INT((('Lån Översikt'!$C$5 * 1 / 100) / 12)), INT((('Lån Översikt'!$C$5 * 'Lån Översikt'!$C$15 / 100) / 12))))
</f>
        <v>3125</v>
      </c>
      <c r="K224" s="8">
        <f t="shared" si="3"/>
        <v>4166</v>
      </c>
      <c r="L224" s="8">
        <f t="shared" si="4"/>
        <v>18384</v>
      </c>
      <c r="M224" s="8">
        <f>(L224 + 'Lån Översikt'!$D$50)</f>
        <v>40333</v>
      </c>
      <c r="N224" s="8">
        <f>IF('Lån Översikt'!$D$22 = "JA", 
    IF(Q224 = TRUE, 'Lån Översikt'!$D$24 - M224, 'Lån Översikt'!$D$24 - M224 + 18300), 
    'Lån Översikt'!$D$24 - M224)
</f>
        <v>9467</v>
      </c>
      <c r="O224" s="25" t="b">
        <f t="shared" si="5"/>
        <v>1</v>
      </c>
      <c r="P224" s="26" t="b">
        <f t="shared" si="6"/>
        <v>0</v>
      </c>
      <c r="Q224" s="27" t="b">
        <f t="shared" si="8"/>
        <v>0</v>
      </c>
    </row>
    <row r="225">
      <c r="F225" s="8">
        <v>222.0</v>
      </c>
      <c r="G225" s="11">
        <f t="shared" si="1"/>
        <v>2493750</v>
      </c>
      <c r="H225" s="9">
        <f>INT(IF(AND('Lån Översikt'!$D$7="JA", 'Lån Översikt'!$D$11="JA", 'Lån Översikt'!$D$8="JA"), (G225*(('Lån Översikt'!$C$7/100*'Lån Översikt'!$C$11/100)-'Lån Översikt'!$C$8/100))/12, IF(AND('Lån Översikt'!$D$7="JA", 'Lån Översikt'!$D$11="JA", 'Lån Översikt'!$D$8="NEJ"), (G225*(('Lån Översikt'!$C$7/100*'Lån Översikt'!$C$11/100))/12), 0)))
</f>
        <v>6373</v>
      </c>
      <c r="I225" s="8">
        <f t="shared" si="2"/>
        <v>4712</v>
      </c>
      <c r="J225" s="8">
        <f>IF(AND(P225, O225), 0, IF(O225, INT((('Lån Översikt'!$C$5 * 1 / 100) / 12)), INT((('Lån Översikt'!$C$5 * 'Lån Översikt'!$C$15 / 100) / 12))))
</f>
        <v>3125</v>
      </c>
      <c r="K225" s="8">
        <f t="shared" si="3"/>
        <v>4166</v>
      </c>
      <c r="L225" s="8">
        <f t="shared" si="4"/>
        <v>18376</v>
      </c>
      <c r="M225" s="8">
        <f>(L225 + 'Lån Översikt'!$D$50)</f>
        <v>40325</v>
      </c>
      <c r="N225" s="8">
        <f>IF('Lån Översikt'!$D$22 = "JA", 
    IF(Q225 = TRUE, 'Lån Översikt'!$D$24 - M225, 'Lån Översikt'!$D$24 - M225 + 18300), 
    'Lån Översikt'!$D$24 - M225)
</f>
        <v>9475</v>
      </c>
      <c r="O225" s="25" t="b">
        <f t="shared" si="5"/>
        <v>1</v>
      </c>
      <c r="P225" s="26" t="b">
        <f t="shared" si="6"/>
        <v>0</v>
      </c>
      <c r="Q225" s="27" t="b">
        <f t="shared" si="8"/>
        <v>0</v>
      </c>
    </row>
    <row r="226">
      <c r="F226" s="8">
        <v>223.0</v>
      </c>
      <c r="G226" s="11">
        <f t="shared" si="1"/>
        <v>2490625</v>
      </c>
      <c r="H226" s="9">
        <f>INT(IF(AND('Lån Översikt'!$D$7="JA", 'Lån Översikt'!$D$11="JA", 'Lån Översikt'!$D$8="JA"), (G226*(('Lån Översikt'!$C$7/100*'Lån Översikt'!$C$11/100)-'Lån Översikt'!$C$8/100))/12, IF(AND('Lån Översikt'!$D$7="JA", 'Lån Översikt'!$D$11="JA", 'Lån Översikt'!$D$8="NEJ"), (G226*(('Lån Översikt'!$C$7/100*'Lån Översikt'!$C$11/100))/12), 0)))
</f>
        <v>6365</v>
      </c>
      <c r="I226" s="8">
        <f t="shared" si="2"/>
        <v>4712</v>
      </c>
      <c r="J226" s="8">
        <f>IF(AND(P226, O226), 0, IF(O226, INT((('Lån Översikt'!$C$5 * 1 / 100) / 12)), INT((('Lån Översikt'!$C$5 * 'Lån Översikt'!$C$15 / 100) / 12))))
</f>
        <v>3125</v>
      </c>
      <c r="K226" s="8">
        <f t="shared" si="3"/>
        <v>4166</v>
      </c>
      <c r="L226" s="8">
        <f t="shared" si="4"/>
        <v>18368</v>
      </c>
      <c r="M226" s="8">
        <f>(L226 + 'Lån Översikt'!$D$50)</f>
        <v>40317</v>
      </c>
      <c r="N226" s="8">
        <f>IF('Lån Översikt'!$D$22 = "JA", 
    IF(Q226 = TRUE, 'Lån Översikt'!$D$24 - M226, 'Lån Översikt'!$D$24 - M226 + 18300), 
    'Lån Översikt'!$D$24 - M226)
</f>
        <v>9483</v>
      </c>
      <c r="O226" s="25" t="b">
        <f t="shared" si="5"/>
        <v>1</v>
      </c>
      <c r="P226" s="26" t="b">
        <f t="shared" si="6"/>
        <v>0</v>
      </c>
      <c r="Q226" s="27" t="b">
        <f t="shared" si="8"/>
        <v>0</v>
      </c>
    </row>
    <row r="227">
      <c r="F227" s="8">
        <v>224.0</v>
      </c>
      <c r="G227" s="11">
        <f t="shared" si="1"/>
        <v>2487500</v>
      </c>
      <c r="H227" s="9">
        <f>INT(IF(AND('Lån Översikt'!$D$7="JA", 'Lån Översikt'!$D$11="JA", 'Lån Översikt'!$D$8="JA"), (G227*(('Lån Översikt'!$C$7/100*'Lån Översikt'!$C$11/100)-'Lån Översikt'!$C$8/100))/12, IF(AND('Lån Översikt'!$D$7="JA", 'Lån Översikt'!$D$11="JA", 'Lån Översikt'!$D$8="NEJ"), (G227*(('Lån Översikt'!$C$7/100*'Lån Översikt'!$C$11/100))/12), 0)))
</f>
        <v>6357</v>
      </c>
      <c r="I227" s="8">
        <f t="shared" si="2"/>
        <v>4712</v>
      </c>
      <c r="J227" s="8">
        <f>IF(AND(P227, O227), 0, IF(O227, INT((('Lån Översikt'!$C$5 * 1 / 100) / 12)), INT((('Lån Översikt'!$C$5 * 'Lån Översikt'!$C$15 / 100) / 12))))
</f>
        <v>3125</v>
      </c>
      <c r="K227" s="8">
        <f t="shared" si="3"/>
        <v>4166</v>
      </c>
      <c r="L227" s="8">
        <f t="shared" si="4"/>
        <v>18360</v>
      </c>
      <c r="M227" s="8">
        <f>(L227 + 'Lån Översikt'!$D$50)</f>
        <v>40309</v>
      </c>
      <c r="N227" s="8">
        <f>IF('Lån Översikt'!$D$22 = "JA", 
    IF(Q227 = TRUE, 'Lån Översikt'!$D$24 - M227, 'Lån Översikt'!$D$24 - M227 + 18300), 
    'Lån Översikt'!$D$24 - M227)
</f>
        <v>9491</v>
      </c>
      <c r="O227" s="25" t="b">
        <f t="shared" si="5"/>
        <v>1</v>
      </c>
      <c r="P227" s="26" t="b">
        <f t="shared" si="6"/>
        <v>0</v>
      </c>
      <c r="Q227" s="27" t="b">
        <f t="shared" si="8"/>
        <v>0</v>
      </c>
    </row>
    <row r="228">
      <c r="F228" s="8">
        <v>225.0</v>
      </c>
      <c r="G228" s="11">
        <f t="shared" si="1"/>
        <v>2484375</v>
      </c>
      <c r="H228" s="9">
        <f>INT(IF(AND('Lån Översikt'!$D$7="JA", 'Lån Översikt'!$D$11="JA", 'Lån Översikt'!$D$8="JA"), (G228*(('Lån Översikt'!$C$7/100*'Lån Översikt'!$C$11/100)-'Lån Översikt'!$C$8/100))/12, IF(AND('Lån Översikt'!$D$7="JA", 'Lån Översikt'!$D$11="JA", 'Lån Översikt'!$D$8="NEJ"), (G228*(('Lån Översikt'!$C$7/100*'Lån Översikt'!$C$11/100))/12), 0)))
</f>
        <v>6349</v>
      </c>
      <c r="I228" s="8">
        <f t="shared" si="2"/>
        <v>4712</v>
      </c>
      <c r="J228" s="8">
        <f>IF(AND(P228, O228), 0, IF(O228, INT((('Lån Översikt'!$C$5 * 1 / 100) / 12)), INT((('Lån Översikt'!$C$5 * 'Lån Översikt'!$C$15 / 100) / 12))))
</f>
        <v>3125</v>
      </c>
      <c r="K228" s="8">
        <f t="shared" si="3"/>
        <v>4166</v>
      </c>
      <c r="L228" s="8">
        <f t="shared" si="4"/>
        <v>18352</v>
      </c>
      <c r="M228" s="8">
        <f>(L228 + 'Lån Översikt'!$D$50)</f>
        <v>40301</v>
      </c>
      <c r="N228" s="8">
        <f>IF('Lån Översikt'!$D$22 = "JA", 
    IF(Q228 = TRUE, 'Lån Översikt'!$D$24 - M228, 'Lån Översikt'!$D$24 - M228 + 18300), 
    'Lån Översikt'!$D$24 - M228)
</f>
        <v>9499</v>
      </c>
      <c r="O228" s="25" t="b">
        <f t="shared" si="5"/>
        <v>1</v>
      </c>
      <c r="P228" s="26" t="b">
        <f t="shared" si="6"/>
        <v>0</v>
      </c>
      <c r="Q228" s="27" t="b">
        <f t="shared" si="8"/>
        <v>0</v>
      </c>
    </row>
    <row r="229">
      <c r="F229" s="8">
        <v>226.0</v>
      </c>
      <c r="G229" s="11">
        <f t="shared" si="1"/>
        <v>2481250</v>
      </c>
      <c r="H229" s="9">
        <f>INT(IF(AND('Lån Översikt'!$D$7="JA", 'Lån Översikt'!$D$11="JA", 'Lån Översikt'!$D$8="JA"), (G229*(('Lån Översikt'!$C$7/100*'Lån Översikt'!$C$11/100)-'Lån Översikt'!$C$8/100))/12, IF(AND('Lån Översikt'!$D$7="JA", 'Lån Översikt'!$D$11="JA", 'Lån Översikt'!$D$8="NEJ"), (G229*(('Lån Översikt'!$C$7/100*'Lån Översikt'!$C$11/100))/12), 0)))
</f>
        <v>6341</v>
      </c>
      <c r="I229" s="8">
        <f t="shared" si="2"/>
        <v>4712</v>
      </c>
      <c r="J229" s="8">
        <f>IF(AND(P229, O229), 0, IF(O229, INT((('Lån Översikt'!$C$5 * 1 / 100) / 12)), INT((('Lån Översikt'!$C$5 * 'Lån Översikt'!$C$15 / 100) / 12))))
</f>
        <v>3125</v>
      </c>
      <c r="K229" s="8">
        <f t="shared" si="3"/>
        <v>4166</v>
      </c>
      <c r="L229" s="8">
        <f t="shared" si="4"/>
        <v>18344</v>
      </c>
      <c r="M229" s="8">
        <f>(L229 + 'Lån Översikt'!$D$50)</f>
        <v>40293</v>
      </c>
      <c r="N229" s="8">
        <f>IF('Lån Översikt'!$D$22 = "JA", 
    IF(Q229 = TRUE, 'Lån Översikt'!$D$24 - M229, 'Lån Översikt'!$D$24 - M229 + 18300), 
    'Lån Översikt'!$D$24 - M229)
</f>
        <v>9507</v>
      </c>
      <c r="O229" s="25" t="b">
        <f t="shared" si="5"/>
        <v>1</v>
      </c>
      <c r="P229" s="26" t="b">
        <f t="shared" si="6"/>
        <v>0</v>
      </c>
      <c r="Q229" s="27" t="b">
        <f t="shared" si="8"/>
        <v>0</v>
      </c>
    </row>
    <row r="230">
      <c r="F230" s="8">
        <v>227.0</v>
      </c>
      <c r="G230" s="11">
        <f t="shared" si="1"/>
        <v>2478125</v>
      </c>
      <c r="H230" s="9">
        <f>INT(IF(AND('Lån Översikt'!$D$7="JA", 'Lån Översikt'!$D$11="JA", 'Lån Översikt'!$D$8="JA"), (G230*(('Lån Översikt'!$C$7/100*'Lån Översikt'!$C$11/100)-'Lån Översikt'!$C$8/100))/12, IF(AND('Lån Översikt'!$D$7="JA", 'Lån Översikt'!$D$11="JA", 'Lån Översikt'!$D$8="NEJ"), (G230*(('Lån Översikt'!$C$7/100*'Lån Översikt'!$C$11/100))/12), 0)))
</f>
        <v>6333</v>
      </c>
      <c r="I230" s="8">
        <f t="shared" si="2"/>
        <v>4712</v>
      </c>
      <c r="J230" s="8">
        <f>IF(AND(P230, O230), 0, IF(O230, INT((('Lån Översikt'!$C$5 * 1 / 100) / 12)), INT((('Lån Översikt'!$C$5 * 'Lån Översikt'!$C$15 / 100) / 12))))
</f>
        <v>3125</v>
      </c>
      <c r="K230" s="8">
        <f t="shared" si="3"/>
        <v>4166</v>
      </c>
      <c r="L230" s="8">
        <f t="shared" si="4"/>
        <v>18336</v>
      </c>
      <c r="M230" s="8">
        <f>(L230 + 'Lån Översikt'!$D$50)</f>
        <v>40285</v>
      </c>
      <c r="N230" s="8">
        <f>IF('Lån Översikt'!$D$22 = "JA", 
    IF(Q230 = TRUE, 'Lån Översikt'!$D$24 - M230, 'Lån Översikt'!$D$24 - M230 + 18300), 
    'Lån Översikt'!$D$24 - M230)
</f>
        <v>9515</v>
      </c>
      <c r="O230" s="25" t="b">
        <f t="shared" si="5"/>
        <v>1</v>
      </c>
      <c r="P230" s="26" t="b">
        <f t="shared" si="6"/>
        <v>0</v>
      </c>
      <c r="Q230" s="27" t="b">
        <f t="shared" si="8"/>
        <v>0</v>
      </c>
    </row>
    <row r="231">
      <c r="F231" s="8">
        <v>228.0</v>
      </c>
      <c r="G231" s="11">
        <f t="shared" si="1"/>
        <v>2475000</v>
      </c>
      <c r="H231" s="9">
        <f>INT(IF(AND('Lån Översikt'!$D$7="JA", 'Lån Översikt'!$D$11="JA", 'Lån Översikt'!$D$8="JA"), (G231*(('Lån Översikt'!$C$7/100*'Lån Översikt'!$C$11/100)-'Lån Översikt'!$C$8/100))/12, IF(AND('Lån Översikt'!$D$7="JA", 'Lån Översikt'!$D$11="JA", 'Lån Översikt'!$D$8="NEJ"), (G231*(('Lån Översikt'!$C$7/100*'Lån Översikt'!$C$11/100))/12), 0)))
</f>
        <v>6325</v>
      </c>
      <c r="I231" s="8">
        <f t="shared" si="2"/>
        <v>4712</v>
      </c>
      <c r="J231" s="8">
        <f>IF(AND(P231, O231), 0, IF(O231, INT((('Lån Översikt'!$C$5 * 1 / 100) / 12)), INT((('Lån Översikt'!$C$5 * 'Lån Översikt'!$C$15 / 100) / 12))))
</f>
        <v>3125</v>
      </c>
      <c r="K231" s="8">
        <f t="shared" si="3"/>
        <v>4166</v>
      </c>
      <c r="L231" s="8">
        <f t="shared" si="4"/>
        <v>18328</v>
      </c>
      <c r="M231" s="8">
        <f>(L231 + 'Lån Översikt'!$D$50)</f>
        <v>40277</v>
      </c>
      <c r="N231" s="8">
        <f>IF('Lån Översikt'!$D$22 = "JA", 
    IF(Q231 = TRUE, 'Lån Översikt'!$D$24 - M231, 'Lån Översikt'!$D$24 - M231 + 18300), 
    'Lån Översikt'!$D$24 - M231)
</f>
        <v>9523</v>
      </c>
      <c r="O231" s="25" t="b">
        <f t="shared" si="5"/>
        <v>1</v>
      </c>
      <c r="P231" s="26" t="b">
        <f t="shared" si="6"/>
        <v>0</v>
      </c>
      <c r="Q231" s="27" t="b">
        <f t="shared" si="8"/>
        <v>0</v>
      </c>
    </row>
    <row r="232">
      <c r="F232" s="8">
        <v>229.0</v>
      </c>
      <c r="G232" s="11">
        <f t="shared" si="1"/>
        <v>2471875</v>
      </c>
      <c r="H232" s="9">
        <f>INT(IF(AND('Lån Översikt'!$D$7="JA", 'Lån Översikt'!$D$11="JA", 'Lån Översikt'!$D$8="JA"), (G232*(('Lån Översikt'!$C$7/100*'Lån Översikt'!$C$11/100)-'Lån Översikt'!$C$8/100))/12, IF(AND('Lån Översikt'!$D$7="JA", 'Lån Översikt'!$D$11="JA", 'Lån Översikt'!$D$8="NEJ"), (G232*(('Lån Översikt'!$C$7/100*'Lån Översikt'!$C$11/100))/12), 0)))
</f>
        <v>6317</v>
      </c>
      <c r="I232" s="8">
        <f t="shared" si="2"/>
        <v>4712</v>
      </c>
      <c r="J232" s="8">
        <f>IF(AND(P232, O232), 0, IF(O232, INT((('Lån Översikt'!$C$5 * 1 / 100) / 12)), INT((('Lån Översikt'!$C$5 * 'Lån Översikt'!$C$15 / 100) / 12))))
</f>
        <v>3125</v>
      </c>
      <c r="K232" s="8">
        <f t="shared" si="3"/>
        <v>4166</v>
      </c>
      <c r="L232" s="8">
        <f t="shared" si="4"/>
        <v>18320</v>
      </c>
      <c r="M232" s="8">
        <f>(L232 + 'Lån Översikt'!$D$50)</f>
        <v>40269</v>
      </c>
      <c r="N232" s="8">
        <f>IF('Lån Översikt'!$D$22 = "JA", 
    IF(Q232 = TRUE, 'Lån Översikt'!$D$24 - M232, 'Lån Översikt'!$D$24 - M232 + 18300), 
    'Lån Översikt'!$D$24 - M232)
</f>
        <v>9531</v>
      </c>
      <c r="O232" s="25" t="b">
        <f t="shared" si="5"/>
        <v>1</v>
      </c>
      <c r="P232" s="26" t="b">
        <f t="shared" si="6"/>
        <v>0</v>
      </c>
      <c r="Q232" s="27" t="b">
        <f t="shared" si="8"/>
        <v>0</v>
      </c>
    </row>
    <row r="233">
      <c r="F233" s="8">
        <v>230.0</v>
      </c>
      <c r="G233" s="11">
        <f t="shared" si="1"/>
        <v>2468750</v>
      </c>
      <c r="H233" s="9">
        <f>INT(IF(AND('Lån Översikt'!$D$7="JA", 'Lån Översikt'!$D$11="JA", 'Lån Översikt'!$D$8="JA"), (G233*(('Lån Översikt'!$C$7/100*'Lån Översikt'!$C$11/100)-'Lån Översikt'!$C$8/100))/12, IF(AND('Lån Översikt'!$D$7="JA", 'Lån Översikt'!$D$11="JA", 'Lån Översikt'!$D$8="NEJ"), (G233*(('Lån Översikt'!$C$7/100*'Lån Översikt'!$C$11/100))/12), 0)))
</f>
        <v>6309</v>
      </c>
      <c r="I233" s="8">
        <f t="shared" si="2"/>
        <v>4712</v>
      </c>
      <c r="J233" s="8">
        <f>IF(AND(P233, O233), 0, IF(O233, INT((('Lån Översikt'!$C$5 * 1 / 100) / 12)), INT((('Lån Översikt'!$C$5 * 'Lån Översikt'!$C$15 / 100) / 12))))
</f>
        <v>3125</v>
      </c>
      <c r="K233" s="8">
        <f t="shared" si="3"/>
        <v>4166</v>
      </c>
      <c r="L233" s="8">
        <f t="shared" si="4"/>
        <v>18312</v>
      </c>
      <c r="M233" s="8">
        <f>(L233 + 'Lån Översikt'!$D$50)</f>
        <v>40261</v>
      </c>
      <c r="N233" s="8">
        <f>IF('Lån Översikt'!$D$22 = "JA", 
    IF(Q233 = TRUE, 'Lån Översikt'!$D$24 - M233, 'Lån Översikt'!$D$24 - M233 + 18300), 
    'Lån Översikt'!$D$24 - M233)
</f>
        <v>9539</v>
      </c>
      <c r="O233" s="25" t="b">
        <f t="shared" si="5"/>
        <v>1</v>
      </c>
      <c r="P233" s="26" t="b">
        <f t="shared" si="6"/>
        <v>0</v>
      </c>
      <c r="Q233" s="27" t="b">
        <f t="shared" si="8"/>
        <v>0</v>
      </c>
    </row>
    <row r="234">
      <c r="F234" s="8">
        <v>231.0</v>
      </c>
      <c r="G234" s="11">
        <f t="shared" si="1"/>
        <v>2465625</v>
      </c>
      <c r="H234" s="9">
        <f>INT(IF(AND('Lån Översikt'!$D$7="JA", 'Lån Översikt'!$D$11="JA", 'Lån Översikt'!$D$8="JA"), (G234*(('Lån Översikt'!$C$7/100*'Lån Översikt'!$C$11/100)-'Lån Översikt'!$C$8/100))/12, IF(AND('Lån Översikt'!$D$7="JA", 'Lån Översikt'!$D$11="JA", 'Lån Översikt'!$D$8="NEJ"), (G234*(('Lån Översikt'!$C$7/100*'Lån Översikt'!$C$11/100))/12), 0)))
</f>
        <v>6301</v>
      </c>
      <c r="I234" s="8">
        <f t="shared" si="2"/>
        <v>4712</v>
      </c>
      <c r="J234" s="8">
        <f>IF(AND(P234, O234), 0, IF(O234, INT((('Lån Översikt'!$C$5 * 1 / 100) / 12)), INT((('Lån Översikt'!$C$5 * 'Lån Översikt'!$C$15 / 100) / 12))))
</f>
        <v>3125</v>
      </c>
      <c r="K234" s="8">
        <f t="shared" si="3"/>
        <v>4166</v>
      </c>
      <c r="L234" s="8">
        <f t="shared" si="4"/>
        <v>18304</v>
      </c>
      <c r="M234" s="8">
        <f>(L234 + 'Lån Översikt'!$D$50)</f>
        <v>40253</v>
      </c>
      <c r="N234" s="8">
        <f>IF('Lån Översikt'!$D$22 = "JA", 
    IF(Q234 = TRUE, 'Lån Översikt'!$D$24 - M234, 'Lån Översikt'!$D$24 - M234 + 18300), 
    'Lån Översikt'!$D$24 - M234)
</f>
        <v>9547</v>
      </c>
      <c r="O234" s="25" t="b">
        <f t="shared" si="5"/>
        <v>1</v>
      </c>
      <c r="P234" s="26" t="b">
        <f t="shared" si="6"/>
        <v>0</v>
      </c>
      <c r="Q234" s="27" t="b">
        <f t="shared" si="8"/>
        <v>0</v>
      </c>
    </row>
    <row r="235">
      <c r="F235" s="8">
        <v>232.0</v>
      </c>
      <c r="G235" s="11">
        <f t="shared" si="1"/>
        <v>2462500</v>
      </c>
      <c r="H235" s="9">
        <f>INT(IF(AND('Lån Översikt'!$D$7="JA", 'Lån Översikt'!$D$11="JA", 'Lån Översikt'!$D$8="JA"), (G235*(('Lån Översikt'!$C$7/100*'Lån Översikt'!$C$11/100)-'Lån Översikt'!$C$8/100))/12, IF(AND('Lån Översikt'!$D$7="JA", 'Lån Översikt'!$D$11="JA", 'Lån Översikt'!$D$8="NEJ"), (G235*(('Lån Översikt'!$C$7/100*'Lån Översikt'!$C$11/100))/12), 0)))
</f>
        <v>6293</v>
      </c>
      <c r="I235" s="8">
        <f t="shared" si="2"/>
        <v>4712</v>
      </c>
      <c r="J235" s="8">
        <f>IF(AND(P235, O235), 0, IF(O235, INT((('Lån Översikt'!$C$5 * 1 / 100) / 12)), INT((('Lån Översikt'!$C$5 * 'Lån Översikt'!$C$15 / 100) / 12))))
</f>
        <v>3125</v>
      </c>
      <c r="K235" s="8">
        <f t="shared" si="3"/>
        <v>4166</v>
      </c>
      <c r="L235" s="8">
        <f t="shared" si="4"/>
        <v>18296</v>
      </c>
      <c r="M235" s="8">
        <f>(L235 + 'Lån Översikt'!$D$50)</f>
        <v>40245</v>
      </c>
      <c r="N235" s="8">
        <f>IF('Lån Översikt'!$D$22 = "JA", 
    IF(Q235 = TRUE, 'Lån Översikt'!$D$24 - M235, 'Lån Översikt'!$D$24 - M235 + 18300), 
    'Lån Översikt'!$D$24 - M235)
</f>
        <v>9555</v>
      </c>
      <c r="O235" s="25" t="b">
        <f t="shared" si="5"/>
        <v>1</v>
      </c>
      <c r="P235" s="26" t="b">
        <f t="shared" si="6"/>
        <v>0</v>
      </c>
      <c r="Q235" s="27" t="b">
        <f t="shared" si="8"/>
        <v>0</v>
      </c>
    </row>
    <row r="236">
      <c r="F236" s="8">
        <v>233.0</v>
      </c>
      <c r="G236" s="11">
        <f t="shared" si="1"/>
        <v>2459375</v>
      </c>
      <c r="H236" s="9">
        <f>INT(IF(AND('Lån Översikt'!$D$7="JA", 'Lån Översikt'!$D$11="JA", 'Lån Översikt'!$D$8="JA"), (G236*(('Lån Översikt'!$C$7/100*'Lån Översikt'!$C$11/100)-'Lån Översikt'!$C$8/100))/12, IF(AND('Lån Översikt'!$D$7="JA", 'Lån Översikt'!$D$11="JA", 'Lån Översikt'!$D$8="NEJ"), (G236*(('Lån Översikt'!$C$7/100*'Lån Översikt'!$C$11/100))/12), 0)))
</f>
        <v>6285</v>
      </c>
      <c r="I236" s="8">
        <f t="shared" si="2"/>
        <v>4712</v>
      </c>
      <c r="J236" s="8">
        <f>IF(AND(P236, O236), 0, IF(O236, INT((('Lån Översikt'!$C$5 * 1 / 100) / 12)), INT((('Lån Översikt'!$C$5 * 'Lån Översikt'!$C$15 / 100) / 12))))
</f>
        <v>3125</v>
      </c>
      <c r="K236" s="8">
        <f t="shared" si="3"/>
        <v>4166</v>
      </c>
      <c r="L236" s="8">
        <f t="shared" si="4"/>
        <v>18288</v>
      </c>
      <c r="M236" s="8">
        <f>(L236 + 'Lån Översikt'!$D$50)</f>
        <v>40237</v>
      </c>
      <c r="N236" s="8">
        <f>IF('Lån Översikt'!$D$22 = "JA", 
    IF(Q236 = TRUE, 'Lån Översikt'!$D$24 - M236, 'Lån Översikt'!$D$24 - M236 + 18300), 
    'Lån Översikt'!$D$24 - M236)
</f>
        <v>9563</v>
      </c>
      <c r="O236" s="25" t="b">
        <f t="shared" si="5"/>
        <v>1</v>
      </c>
      <c r="P236" s="26" t="b">
        <f t="shared" si="6"/>
        <v>0</v>
      </c>
      <c r="Q236" s="27" t="b">
        <f t="shared" si="8"/>
        <v>0</v>
      </c>
    </row>
    <row r="237">
      <c r="F237" s="8">
        <v>234.0</v>
      </c>
      <c r="G237" s="11">
        <f t="shared" si="1"/>
        <v>2456250</v>
      </c>
      <c r="H237" s="9">
        <f>INT(IF(AND('Lån Översikt'!$D$7="JA", 'Lån Översikt'!$D$11="JA", 'Lån Översikt'!$D$8="JA"), (G237*(('Lån Översikt'!$C$7/100*'Lån Översikt'!$C$11/100)-'Lån Översikt'!$C$8/100))/12, IF(AND('Lån Översikt'!$D$7="JA", 'Lån Översikt'!$D$11="JA", 'Lån Översikt'!$D$8="NEJ"), (G237*(('Lån Översikt'!$C$7/100*'Lån Översikt'!$C$11/100))/12), 0)))
</f>
        <v>6277</v>
      </c>
      <c r="I237" s="8">
        <f t="shared" si="2"/>
        <v>4712</v>
      </c>
      <c r="J237" s="8">
        <f>IF(AND(P237, O237), 0, IF(O237, INT((('Lån Översikt'!$C$5 * 1 / 100) / 12)), INT((('Lån Översikt'!$C$5 * 'Lån Översikt'!$C$15 / 100) / 12))))
</f>
        <v>3125</v>
      </c>
      <c r="K237" s="8">
        <f t="shared" si="3"/>
        <v>4166</v>
      </c>
      <c r="L237" s="8">
        <f t="shared" si="4"/>
        <v>18280</v>
      </c>
      <c r="M237" s="8">
        <f>(L237 + 'Lån Översikt'!$D$50)</f>
        <v>40229</v>
      </c>
      <c r="N237" s="8">
        <f>IF('Lån Översikt'!$D$22 = "JA", 
    IF(Q237 = TRUE, 'Lån Översikt'!$D$24 - M237, 'Lån Översikt'!$D$24 - M237 + 18300), 
    'Lån Översikt'!$D$24 - M237)
</f>
        <v>9571</v>
      </c>
      <c r="O237" s="25" t="b">
        <f t="shared" si="5"/>
        <v>1</v>
      </c>
      <c r="P237" s="26" t="b">
        <f t="shared" si="6"/>
        <v>0</v>
      </c>
      <c r="Q237" s="27" t="b">
        <f t="shared" si="8"/>
        <v>0</v>
      </c>
    </row>
    <row r="238">
      <c r="F238" s="8">
        <v>235.0</v>
      </c>
      <c r="G238" s="11">
        <f t="shared" si="1"/>
        <v>2453125</v>
      </c>
      <c r="H238" s="9">
        <f>INT(IF(AND('Lån Översikt'!$D$7="JA", 'Lån Översikt'!$D$11="JA", 'Lån Översikt'!$D$8="JA"), (G238*(('Lån Översikt'!$C$7/100*'Lån Översikt'!$C$11/100)-'Lån Översikt'!$C$8/100))/12, IF(AND('Lån Översikt'!$D$7="JA", 'Lån Översikt'!$D$11="JA", 'Lån Översikt'!$D$8="NEJ"), (G238*(('Lån Översikt'!$C$7/100*'Lån Översikt'!$C$11/100))/12), 0)))
</f>
        <v>6269</v>
      </c>
      <c r="I238" s="8">
        <f t="shared" si="2"/>
        <v>4712</v>
      </c>
      <c r="J238" s="8">
        <f>IF(AND(P238, O238), 0, IF(O238, INT((('Lån Översikt'!$C$5 * 1 / 100) / 12)), INT((('Lån Översikt'!$C$5 * 'Lån Översikt'!$C$15 / 100) / 12))))
</f>
        <v>3125</v>
      </c>
      <c r="K238" s="8">
        <f t="shared" si="3"/>
        <v>4166</v>
      </c>
      <c r="L238" s="8">
        <f t="shared" si="4"/>
        <v>18272</v>
      </c>
      <c r="M238" s="8">
        <f>(L238 + 'Lån Översikt'!$D$50)</f>
        <v>40221</v>
      </c>
      <c r="N238" s="8">
        <f>IF('Lån Översikt'!$D$22 = "JA", 
    IF(Q238 = TRUE, 'Lån Översikt'!$D$24 - M238, 'Lån Översikt'!$D$24 - M238 + 18300), 
    'Lån Översikt'!$D$24 - M238)
</f>
        <v>9579</v>
      </c>
      <c r="O238" s="25" t="b">
        <f t="shared" si="5"/>
        <v>1</v>
      </c>
      <c r="P238" s="26" t="b">
        <f t="shared" si="6"/>
        <v>0</v>
      </c>
      <c r="Q238" s="27" t="b">
        <f t="shared" si="8"/>
        <v>0</v>
      </c>
    </row>
    <row r="239">
      <c r="F239" s="8">
        <v>236.0</v>
      </c>
      <c r="G239" s="11">
        <f t="shared" si="1"/>
        <v>2450000</v>
      </c>
      <c r="H239" s="9">
        <f>INT(IF(AND('Lån Översikt'!$D$7="JA", 'Lån Översikt'!$D$11="JA", 'Lån Översikt'!$D$8="JA"), (G239*(('Lån Översikt'!$C$7/100*'Lån Översikt'!$C$11/100)-'Lån Översikt'!$C$8/100))/12, IF(AND('Lån Översikt'!$D$7="JA", 'Lån Översikt'!$D$11="JA", 'Lån Översikt'!$D$8="NEJ"), (G239*(('Lån Översikt'!$C$7/100*'Lån Översikt'!$C$11/100))/12), 0)))
</f>
        <v>6261</v>
      </c>
      <c r="I239" s="8">
        <f t="shared" si="2"/>
        <v>4712</v>
      </c>
      <c r="J239" s="8">
        <f>IF(AND(P239, O239), 0, IF(O239, INT((('Lån Översikt'!$C$5 * 1 / 100) / 12)), INT((('Lån Översikt'!$C$5 * 'Lån Översikt'!$C$15 / 100) / 12))))
</f>
        <v>3125</v>
      </c>
      <c r="K239" s="8">
        <f t="shared" si="3"/>
        <v>4166</v>
      </c>
      <c r="L239" s="8">
        <f t="shared" si="4"/>
        <v>18264</v>
      </c>
      <c r="M239" s="8">
        <f>(L239 + 'Lån Översikt'!$D$50)</f>
        <v>40213</v>
      </c>
      <c r="N239" s="8">
        <f>IF('Lån Översikt'!$D$22 = "JA", 
    IF(Q239 = TRUE, 'Lån Översikt'!$D$24 - M239, 'Lån Översikt'!$D$24 - M239 + 18300), 
    'Lån Översikt'!$D$24 - M239)
</f>
        <v>9587</v>
      </c>
      <c r="O239" s="25" t="b">
        <f t="shared" si="5"/>
        <v>1</v>
      </c>
      <c r="P239" s="26" t="b">
        <f t="shared" si="6"/>
        <v>0</v>
      </c>
      <c r="Q239" s="27" t="b">
        <f t="shared" si="8"/>
        <v>0</v>
      </c>
    </row>
    <row r="240">
      <c r="F240" s="8">
        <v>237.0</v>
      </c>
      <c r="G240" s="11">
        <f t="shared" si="1"/>
        <v>2446875</v>
      </c>
      <c r="H240" s="9">
        <f>INT(IF(AND('Lån Översikt'!$D$7="JA", 'Lån Översikt'!$D$11="JA", 'Lån Översikt'!$D$8="JA"), (G240*(('Lån Översikt'!$C$7/100*'Lån Översikt'!$C$11/100)-'Lån Översikt'!$C$8/100))/12, IF(AND('Lån Översikt'!$D$7="JA", 'Lån Översikt'!$D$11="JA", 'Lån Översikt'!$D$8="NEJ"), (G240*(('Lån Översikt'!$C$7/100*'Lån Översikt'!$C$11/100))/12), 0)))
</f>
        <v>6253</v>
      </c>
      <c r="I240" s="8">
        <f t="shared" si="2"/>
        <v>4712</v>
      </c>
      <c r="J240" s="8">
        <f>IF(AND(P240, O240), 0, IF(O240, INT((('Lån Översikt'!$C$5 * 1 / 100) / 12)), INT((('Lån Översikt'!$C$5 * 'Lån Översikt'!$C$15 / 100) / 12))))
</f>
        <v>3125</v>
      </c>
      <c r="K240" s="8">
        <f t="shared" si="3"/>
        <v>4166</v>
      </c>
      <c r="L240" s="8">
        <f t="shared" si="4"/>
        <v>18256</v>
      </c>
      <c r="M240" s="8">
        <f>(L240 + 'Lån Översikt'!$D$50)</f>
        <v>40205</v>
      </c>
      <c r="N240" s="8">
        <f>IF('Lån Översikt'!$D$22 = "JA", 
    IF(Q240 = TRUE, 'Lån Översikt'!$D$24 - M240, 'Lån Översikt'!$D$24 - M240 + 18300), 
    'Lån Översikt'!$D$24 - M240)
</f>
        <v>9595</v>
      </c>
      <c r="O240" s="25" t="b">
        <f t="shared" si="5"/>
        <v>1</v>
      </c>
      <c r="P240" s="26" t="b">
        <f t="shared" si="6"/>
        <v>0</v>
      </c>
      <c r="Q240" s="27" t="b">
        <f t="shared" si="8"/>
        <v>0</v>
      </c>
    </row>
    <row r="241">
      <c r="F241" s="8">
        <v>238.0</v>
      </c>
      <c r="G241" s="11">
        <f t="shared" si="1"/>
        <v>2443750</v>
      </c>
      <c r="H241" s="9">
        <f>INT(IF(AND('Lån Översikt'!$D$7="JA", 'Lån Översikt'!$D$11="JA", 'Lån Översikt'!$D$8="JA"), (G241*(('Lån Översikt'!$C$7/100*'Lån Översikt'!$C$11/100)-'Lån Översikt'!$C$8/100))/12, IF(AND('Lån Översikt'!$D$7="JA", 'Lån Översikt'!$D$11="JA", 'Lån Översikt'!$D$8="NEJ"), (G241*(('Lån Översikt'!$C$7/100*'Lån Översikt'!$C$11/100))/12), 0)))
</f>
        <v>6245</v>
      </c>
      <c r="I241" s="8">
        <f t="shared" si="2"/>
        <v>4712</v>
      </c>
      <c r="J241" s="8">
        <f>IF(AND(P241, O241), 0, IF(O241, INT((('Lån Översikt'!$C$5 * 1 / 100) / 12)), INT((('Lån Översikt'!$C$5 * 'Lån Översikt'!$C$15 / 100) / 12))))
</f>
        <v>3125</v>
      </c>
      <c r="K241" s="8">
        <f t="shared" si="3"/>
        <v>4166</v>
      </c>
      <c r="L241" s="8">
        <f t="shared" si="4"/>
        <v>18248</v>
      </c>
      <c r="M241" s="8">
        <f>(L241 + 'Lån Översikt'!$D$50)</f>
        <v>40197</v>
      </c>
      <c r="N241" s="8">
        <f>IF('Lån Översikt'!$D$22 = "JA", 
    IF(Q241 = TRUE, 'Lån Översikt'!$D$24 - M241, 'Lån Översikt'!$D$24 - M241 + 18300), 
    'Lån Översikt'!$D$24 - M241)
</f>
        <v>9603</v>
      </c>
      <c r="O241" s="25" t="b">
        <f t="shared" si="5"/>
        <v>1</v>
      </c>
      <c r="P241" s="26" t="b">
        <f t="shared" si="6"/>
        <v>0</v>
      </c>
      <c r="Q241" s="27" t="b">
        <f t="shared" si="8"/>
        <v>0</v>
      </c>
    </row>
    <row r="242">
      <c r="F242" s="8">
        <v>239.0</v>
      </c>
      <c r="G242" s="11">
        <f t="shared" si="1"/>
        <v>2440625</v>
      </c>
      <c r="H242" s="9">
        <f>INT(IF(AND('Lån Översikt'!$D$7="JA", 'Lån Översikt'!$D$11="JA", 'Lån Översikt'!$D$8="JA"), (G242*(('Lån Översikt'!$C$7/100*'Lån Översikt'!$C$11/100)-'Lån Översikt'!$C$8/100))/12, IF(AND('Lån Översikt'!$D$7="JA", 'Lån Översikt'!$D$11="JA", 'Lån Översikt'!$D$8="NEJ"), (G242*(('Lån Översikt'!$C$7/100*'Lån Översikt'!$C$11/100))/12), 0)))
</f>
        <v>6237</v>
      </c>
      <c r="I242" s="8">
        <f t="shared" si="2"/>
        <v>4712</v>
      </c>
      <c r="J242" s="8">
        <f>IF(AND(P242, O242), 0, IF(O242, INT((('Lån Översikt'!$C$5 * 1 / 100) / 12)), INT((('Lån Översikt'!$C$5 * 'Lån Översikt'!$C$15 / 100) / 12))))
</f>
        <v>3125</v>
      </c>
      <c r="K242" s="8">
        <f t="shared" si="3"/>
        <v>4166</v>
      </c>
      <c r="L242" s="8">
        <f t="shared" si="4"/>
        <v>18240</v>
      </c>
      <c r="M242" s="8">
        <f>(L242 + 'Lån Översikt'!$D$50)</f>
        <v>40189</v>
      </c>
      <c r="N242" s="8">
        <f>IF('Lån Översikt'!$D$22 = "JA", 
    IF(Q242 = TRUE, 'Lån Översikt'!$D$24 - M242, 'Lån Översikt'!$D$24 - M242 + 18300), 
    'Lån Översikt'!$D$24 - M242)
</f>
        <v>9611</v>
      </c>
      <c r="O242" s="25" t="b">
        <f t="shared" si="5"/>
        <v>1</v>
      </c>
      <c r="P242" s="26" t="b">
        <f t="shared" si="6"/>
        <v>0</v>
      </c>
      <c r="Q242" s="27" t="b">
        <f t="shared" si="8"/>
        <v>0</v>
      </c>
    </row>
    <row r="243">
      <c r="F243" s="8">
        <v>240.0</v>
      </c>
      <c r="G243" s="11">
        <f t="shared" si="1"/>
        <v>2437500</v>
      </c>
      <c r="H243" s="9">
        <f>INT(IF(AND('Lån Översikt'!$D$7="JA", 'Lån Översikt'!$D$11="JA", 'Lån Översikt'!$D$8="JA"), (G243*(('Lån Översikt'!$C$7/100*'Lån Översikt'!$C$11/100)-'Lån Översikt'!$C$8/100))/12, IF(AND('Lån Översikt'!$D$7="JA", 'Lån Översikt'!$D$11="JA", 'Lån Översikt'!$D$8="NEJ"), (G243*(('Lån Översikt'!$C$7/100*'Lån Översikt'!$C$11/100))/12), 0)))
</f>
        <v>6229</v>
      </c>
      <c r="I243" s="8">
        <f t="shared" si="2"/>
        <v>4712</v>
      </c>
      <c r="J243" s="8">
        <f>IF(AND(P243, O243), 0, IF(O243, INT((('Lån Översikt'!$C$5 * 1 / 100) / 12)), INT((('Lån Översikt'!$C$5 * 'Lån Översikt'!$C$15 / 100) / 12))))
</f>
        <v>3125</v>
      </c>
      <c r="K243" s="8">
        <f t="shared" si="3"/>
        <v>4166</v>
      </c>
      <c r="L243" s="8">
        <f t="shared" si="4"/>
        <v>18232</v>
      </c>
      <c r="M243" s="8">
        <f>(L243 + 'Lån Översikt'!$D$50)</f>
        <v>40181</v>
      </c>
      <c r="N243" s="8">
        <f>IF('Lån Översikt'!$D$22 = "JA", 
    IF(Q243 = TRUE, 'Lån Översikt'!$D$24 - M243, 'Lån Översikt'!$D$24 - M243 + 18300), 
    'Lån Översikt'!$D$24 - M243)
</f>
        <v>9619</v>
      </c>
      <c r="O243" s="25" t="b">
        <f t="shared" si="5"/>
        <v>1</v>
      </c>
      <c r="P243" s="26" t="b">
        <f t="shared" si="6"/>
        <v>0</v>
      </c>
      <c r="Q243" s="27" t="b">
        <f t="shared" si="8"/>
        <v>0</v>
      </c>
    </row>
    <row r="244">
      <c r="F244" s="8">
        <v>241.0</v>
      </c>
      <c r="G244" s="11">
        <f t="shared" si="1"/>
        <v>2434375</v>
      </c>
      <c r="H244" s="9">
        <f>INT(IF(AND('Lån Översikt'!$D$7="JA", 'Lån Översikt'!$D$11="JA", 'Lån Översikt'!$D$8="JA"), (G244*(('Lån Översikt'!$C$7/100*'Lån Översikt'!$C$11/100)-'Lån Översikt'!$C$8/100))/12, IF(AND('Lån Översikt'!$D$7="JA", 'Lån Översikt'!$D$11="JA", 'Lån Översikt'!$D$8="NEJ"), (G244*(('Lån Översikt'!$C$7/100*'Lån Översikt'!$C$11/100))/12), 0)))
</f>
        <v>6221</v>
      </c>
      <c r="I244" s="8">
        <f t="shared" si="2"/>
        <v>4712</v>
      </c>
      <c r="J244" s="8">
        <f>IF(AND(P244, O244), 0, IF(O244, INT((('Lån Översikt'!$C$5 * 1 / 100) / 12)), INT((('Lån Översikt'!$C$5 * 'Lån Översikt'!$C$15 / 100) / 12))))
</f>
        <v>3125</v>
      </c>
      <c r="K244" s="8">
        <f t="shared" si="3"/>
        <v>4166</v>
      </c>
      <c r="L244" s="8">
        <f t="shared" si="4"/>
        <v>18224</v>
      </c>
      <c r="M244" s="8">
        <f>(L244 + 'Lån Översikt'!$D$50)</f>
        <v>40173</v>
      </c>
      <c r="N244" s="8">
        <f>IF('Lån Översikt'!$D$22 = "JA", 
    IF(Q244 = TRUE, 'Lån Översikt'!$D$24 - M244, 'Lån Översikt'!$D$24 - M244 + 18300), 
    'Lån Översikt'!$D$24 - M244)
</f>
        <v>9627</v>
      </c>
      <c r="O244" s="25" t="b">
        <f t="shared" si="5"/>
        <v>1</v>
      </c>
      <c r="P244" s="26" t="b">
        <f t="shared" si="6"/>
        <v>0</v>
      </c>
      <c r="Q244" s="27" t="b">
        <f t="shared" si="8"/>
        <v>0</v>
      </c>
    </row>
    <row r="245">
      <c r="F245" s="8">
        <v>242.0</v>
      </c>
      <c r="G245" s="11">
        <f t="shared" si="1"/>
        <v>2431250</v>
      </c>
      <c r="H245" s="9">
        <f>INT(IF(AND('Lån Översikt'!$D$7="JA", 'Lån Översikt'!$D$11="JA", 'Lån Översikt'!$D$8="JA"), (G245*(('Lån Översikt'!$C$7/100*'Lån Översikt'!$C$11/100)-'Lån Översikt'!$C$8/100))/12, IF(AND('Lån Översikt'!$D$7="JA", 'Lån Översikt'!$D$11="JA", 'Lån Översikt'!$D$8="NEJ"), (G245*(('Lån Översikt'!$C$7/100*'Lån Översikt'!$C$11/100))/12), 0)))
</f>
        <v>6213</v>
      </c>
      <c r="I245" s="8">
        <f t="shared" si="2"/>
        <v>4712</v>
      </c>
      <c r="J245" s="8">
        <f>IF(AND(P245, O245), 0, IF(O245, INT((('Lån Översikt'!$C$5 * 1 / 100) / 12)), INT((('Lån Översikt'!$C$5 * 'Lån Översikt'!$C$15 / 100) / 12))))
</f>
        <v>3125</v>
      </c>
      <c r="K245" s="8">
        <f t="shared" si="3"/>
        <v>4166</v>
      </c>
      <c r="L245" s="8">
        <f t="shared" si="4"/>
        <v>18216</v>
      </c>
      <c r="M245" s="8">
        <f>(L245 + 'Lån Översikt'!$D$50)</f>
        <v>40165</v>
      </c>
      <c r="N245" s="8">
        <f>IF('Lån Översikt'!$D$22 = "JA", 
    IF(Q245 = TRUE, 'Lån Översikt'!$D$24 - M245, 'Lån Översikt'!$D$24 - M245 + 18300), 
    'Lån Översikt'!$D$24 - M245)
</f>
        <v>9635</v>
      </c>
      <c r="O245" s="25" t="b">
        <f t="shared" si="5"/>
        <v>1</v>
      </c>
      <c r="P245" s="26" t="b">
        <f t="shared" si="6"/>
        <v>0</v>
      </c>
      <c r="Q245" s="27" t="b">
        <f t="shared" si="8"/>
        <v>0</v>
      </c>
    </row>
    <row r="246">
      <c r="F246" s="8">
        <v>243.0</v>
      </c>
      <c r="G246" s="11">
        <f t="shared" si="1"/>
        <v>2428125</v>
      </c>
      <c r="H246" s="9">
        <f>INT(IF(AND('Lån Översikt'!$D$7="JA", 'Lån Översikt'!$D$11="JA", 'Lån Översikt'!$D$8="JA"), (G246*(('Lån Översikt'!$C$7/100*'Lån Översikt'!$C$11/100)-'Lån Översikt'!$C$8/100))/12, IF(AND('Lån Översikt'!$D$7="JA", 'Lån Översikt'!$D$11="JA", 'Lån Översikt'!$D$8="NEJ"), (G246*(('Lån Översikt'!$C$7/100*'Lån Översikt'!$C$11/100))/12), 0)))
</f>
        <v>6205</v>
      </c>
      <c r="I246" s="8">
        <f t="shared" si="2"/>
        <v>4712</v>
      </c>
      <c r="J246" s="8">
        <f>IF(AND(P246, O246), 0, IF(O246, INT((('Lån Översikt'!$C$5 * 1 / 100) / 12)), INT((('Lån Översikt'!$C$5 * 'Lån Översikt'!$C$15 / 100) / 12))))
</f>
        <v>3125</v>
      </c>
      <c r="K246" s="8">
        <f t="shared" si="3"/>
        <v>4166</v>
      </c>
      <c r="L246" s="8">
        <f t="shared" si="4"/>
        <v>18208</v>
      </c>
      <c r="M246" s="8">
        <f>(L246 + 'Lån Översikt'!$D$50)</f>
        <v>40157</v>
      </c>
      <c r="N246" s="8">
        <f>IF('Lån Översikt'!$D$22 = "JA", 
    IF(Q246 = TRUE, 'Lån Översikt'!$D$24 - M246, 'Lån Översikt'!$D$24 - M246 + 18300), 
    'Lån Översikt'!$D$24 - M246)
</f>
        <v>9643</v>
      </c>
      <c r="O246" s="25" t="b">
        <f t="shared" si="5"/>
        <v>1</v>
      </c>
      <c r="P246" s="26" t="b">
        <f t="shared" si="6"/>
        <v>0</v>
      </c>
      <c r="Q246" s="27" t="b">
        <f t="shared" si="8"/>
        <v>0</v>
      </c>
    </row>
    <row r="247">
      <c r="F247" s="8">
        <v>244.0</v>
      </c>
      <c r="G247" s="11">
        <f t="shared" si="1"/>
        <v>2425000</v>
      </c>
      <c r="H247" s="9">
        <f>INT(IF(AND('Lån Översikt'!$D$7="JA", 'Lån Översikt'!$D$11="JA", 'Lån Översikt'!$D$8="JA"), (G247*(('Lån Översikt'!$C$7/100*'Lån Översikt'!$C$11/100)-'Lån Översikt'!$C$8/100))/12, IF(AND('Lån Översikt'!$D$7="JA", 'Lån Översikt'!$D$11="JA", 'Lån Översikt'!$D$8="NEJ"), (G247*(('Lån Översikt'!$C$7/100*'Lån Översikt'!$C$11/100))/12), 0)))
</f>
        <v>6197</v>
      </c>
      <c r="I247" s="8">
        <f t="shared" si="2"/>
        <v>4712</v>
      </c>
      <c r="J247" s="8">
        <f>IF(AND(P247, O247), 0, IF(O247, INT((('Lån Översikt'!$C$5 * 1 / 100) / 12)), INT((('Lån Översikt'!$C$5 * 'Lån Översikt'!$C$15 / 100) / 12))))
</f>
        <v>3125</v>
      </c>
      <c r="K247" s="8">
        <f t="shared" si="3"/>
        <v>4166</v>
      </c>
      <c r="L247" s="8">
        <f t="shared" si="4"/>
        <v>18200</v>
      </c>
      <c r="M247" s="8">
        <f>(L247 + 'Lån Översikt'!$D$50)</f>
        <v>40149</v>
      </c>
      <c r="N247" s="8">
        <f>IF('Lån Översikt'!$D$22 = "JA", 
    IF(Q247 = TRUE, 'Lån Översikt'!$D$24 - M247, 'Lån Översikt'!$D$24 - M247 + 18300), 
    'Lån Översikt'!$D$24 - M247)
</f>
        <v>9651</v>
      </c>
      <c r="O247" s="25" t="b">
        <f t="shared" si="5"/>
        <v>1</v>
      </c>
      <c r="P247" s="26" t="b">
        <f t="shared" si="6"/>
        <v>0</v>
      </c>
      <c r="Q247" s="27" t="b">
        <f t="shared" si="8"/>
        <v>0</v>
      </c>
    </row>
    <row r="248">
      <c r="F248" s="8">
        <v>245.0</v>
      </c>
      <c r="G248" s="11">
        <f t="shared" si="1"/>
        <v>2421875</v>
      </c>
      <c r="H248" s="9">
        <f>INT(IF(AND('Lån Översikt'!$D$7="JA", 'Lån Översikt'!$D$11="JA", 'Lån Översikt'!$D$8="JA"), (G248*(('Lån Översikt'!$C$7/100*'Lån Översikt'!$C$11/100)-'Lån Översikt'!$C$8/100))/12, IF(AND('Lån Översikt'!$D$7="JA", 'Lån Översikt'!$D$11="JA", 'Lån Översikt'!$D$8="NEJ"), (G248*(('Lån Översikt'!$C$7/100*'Lån Översikt'!$C$11/100))/12), 0)))
</f>
        <v>6189</v>
      </c>
      <c r="I248" s="8">
        <f t="shared" si="2"/>
        <v>4712</v>
      </c>
      <c r="J248" s="8">
        <f>IF(AND(P248, O248), 0, IF(O248, INT((('Lån Översikt'!$C$5 * 1 / 100) / 12)), INT((('Lån Översikt'!$C$5 * 'Lån Översikt'!$C$15 / 100) / 12))))
</f>
        <v>3125</v>
      </c>
      <c r="K248" s="8">
        <f t="shared" si="3"/>
        <v>4166</v>
      </c>
      <c r="L248" s="8">
        <f t="shared" si="4"/>
        <v>18192</v>
      </c>
      <c r="M248" s="8">
        <f>(L248 + 'Lån Översikt'!$D$50)</f>
        <v>40141</v>
      </c>
      <c r="N248" s="8">
        <f>IF('Lån Översikt'!$D$22 = "JA", 
    IF(Q248 = TRUE, 'Lån Översikt'!$D$24 - M248, 'Lån Översikt'!$D$24 - M248 + 18300), 
    'Lån Översikt'!$D$24 - M248)
</f>
        <v>9659</v>
      </c>
      <c r="O248" s="25" t="b">
        <f t="shared" si="5"/>
        <v>1</v>
      </c>
      <c r="P248" s="26" t="b">
        <f t="shared" si="6"/>
        <v>0</v>
      </c>
      <c r="Q248" s="27" t="b">
        <f t="shared" si="8"/>
        <v>0</v>
      </c>
    </row>
    <row r="249">
      <c r="F249" s="8">
        <v>246.0</v>
      </c>
      <c r="G249" s="11">
        <f t="shared" si="1"/>
        <v>2418750</v>
      </c>
      <c r="H249" s="9">
        <f>INT(IF(AND('Lån Översikt'!$D$7="JA", 'Lån Översikt'!$D$11="JA", 'Lån Översikt'!$D$8="JA"), (G249*(('Lån Översikt'!$C$7/100*'Lån Översikt'!$C$11/100)-'Lån Översikt'!$C$8/100))/12, IF(AND('Lån Översikt'!$D$7="JA", 'Lån Översikt'!$D$11="JA", 'Lån Översikt'!$D$8="NEJ"), (G249*(('Lån Översikt'!$C$7/100*'Lån Översikt'!$C$11/100))/12), 0)))
</f>
        <v>6181</v>
      </c>
      <c r="I249" s="8">
        <f t="shared" si="2"/>
        <v>4712</v>
      </c>
      <c r="J249" s="8">
        <f>IF(AND(P249, O249), 0, IF(O249, INT((('Lån Översikt'!$C$5 * 1 / 100) / 12)), INT((('Lån Översikt'!$C$5 * 'Lån Översikt'!$C$15 / 100) / 12))))
</f>
        <v>3125</v>
      </c>
      <c r="K249" s="8">
        <f t="shared" si="3"/>
        <v>4166</v>
      </c>
      <c r="L249" s="8">
        <f t="shared" si="4"/>
        <v>18184</v>
      </c>
      <c r="M249" s="8">
        <f>(L249 + 'Lån Översikt'!$D$50)</f>
        <v>40133</v>
      </c>
      <c r="N249" s="8">
        <f>IF('Lån Översikt'!$D$22 = "JA", 
    IF(Q249 = TRUE, 'Lån Översikt'!$D$24 - M249, 'Lån Översikt'!$D$24 - M249 + 18300), 
    'Lån Översikt'!$D$24 - M249)
</f>
        <v>9667</v>
      </c>
      <c r="O249" s="25" t="b">
        <f t="shared" si="5"/>
        <v>1</v>
      </c>
      <c r="P249" s="26" t="b">
        <f t="shared" si="6"/>
        <v>0</v>
      </c>
      <c r="Q249" s="27" t="b">
        <f t="shared" si="8"/>
        <v>0</v>
      </c>
    </row>
    <row r="250">
      <c r="F250" s="8">
        <v>247.0</v>
      </c>
      <c r="G250" s="11">
        <f t="shared" si="1"/>
        <v>2415625</v>
      </c>
      <c r="H250" s="9">
        <f>INT(IF(AND('Lån Översikt'!$D$7="JA", 'Lån Översikt'!$D$11="JA", 'Lån Översikt'!$D$8="JA"), (G250*(('Lån Översikt'!$C$7/100*'Lån Översikt'!$C$11/100)-'Lån Översikt'!$C$8/100))/12, IF(AND('Lån Översikt'!$D$7="JA", 'Lån Översikt'!$D$11="JA", 'Lån Översikt'!$D$8="NEJ"), (G250*(('Lån Översikt'!$C$7/100*'Lån Översikt'!$C$11/100))/12), 0)))
</f>
        <v>6173</v>
      </c>
      <c r="I250" s="8">
        <f t="shared" si="2"/>
        <v>4712</v>
      </c>
      <c r="J250" s="8">
        <f>IF(AND(P250, O250), 0, IF(O250, INT((('Lån Översikt'!$C$5 * 1 / 100) / 12)), INT((('Lån Översikt'!$C$5 * 'Lån Översikt'!$C$15 / 100) / 12))))
</f>
        <v>3125</v>
      </c>
      <c r="K250" s="8">
        <f t="shared" si="3"/>
        <v>4166</v>
      </c>
      <c r="L250" s="8">
        <f t="shared" si="4"/>
        <v>18176</v>
      </c>
      <c r="M250" s="8">
        <f>(L250 + 'Lån Översikt'!$D$50)</f>
        <v>40125</v>
      </c>
      <c r="N250" s="8">
        <f>IF('Lån Översikt'!$D$22 = "JA", 
    IF(Q250 = TRUE, 'Lån Översikt'!$D$24 - M250, 'Lån Översikt'!$D$24 - M250 + 18300), 
    'Lån Översikt'!$D$24 - M250)
</f>
        <v>9675</v>
      </c>
      <c r="O250" s="25" t="b">
        <f t="shared" si="5"/>
        <v>1</v>
      </c>
      <c r="P250" s="26" t="b">
        <f t="shared" si="6"/>
        <v>0</v>
      </c>
      <c r="Q250" s="27" t="b">
        <f t="shared" si="8"/>
        <v>0</v>
      </c>
    </row>
    <row r="251">
      <c r="F251" s="8">
        <v>248.0</v>
      </c>
      <c r="G251" s="11">
        <f t="shared" si="1"/>
        <v>2412500</v>
      </c>
      <c r="H251" s="9">
        <f>INT(IF(AND('Lån Översikt'!$D$7="JA", 'Lån Översikt'!$D$11="JA", 'Lån Översikt'!$D$8="JA"), (G251*(('Lån Översikt'!$C$7/100*'Lån Översikt'!$C$11/100)-'Lån Översikt'!$C$8/100))/12, IF(AND('Lån Översikt'!$D$7="JA", 'Lån Översikt'!$D$11="JA", 'Lån Översikt'!$D$8="NEJ"), (G251*(('Lån Översikt'!$C$7/100*'Lån Översikt'!$C$11/100))/12), 0)))
</f>
        <v>6165</v>
      </c>
      <c r="I251" s="8">
        <f t="shared" si="2"/>
        <v>4712</v>
      </c>
      <c r="J251" s="8">
        <f>IF(AND(P251, O251), 0, IF(O251, INT((('Lån Översikt'!$C$5 * 1 / 100) / 12)), INT((('Lån Översikt'!$C$5 * 'Lån Översikt'!$C$15 / 100) / 12))))
</f>
        <v>3125</v>
      </c>
      <c r="K251" s="8">
        <f t="shared" si="3"/>
        <v>4166</v>
      </c>
      <c r="L251" s="8">
        <f t="shared" si="4"/>
        <v>18168</v>
      </c>
      <c r="M251" s="8">
        <f>(L251 + 'Lån Översikt'!$D$50)</f>
        <v>40117</v>
      </c>
      <c r="N251" s="8">
        <f>IF('Lån Översikt'!$D$22 = "JA", 
    IF(Q251 = TRUE, 'Lån Översikt'!$D$24 - M251, 'Lån Översikt'!$D$24 - M251 + 18300), 
    'Lån Översikt'!$D$24 - M251)
</f>
        <v>9683</v>
      </c>
      <c r="O251" s="25" t="b">
        <f t="shared" si="5"/>
        <v>1</v>
      </c>
      <c r="P251" s="26" t="b">
        <f t="shared" si="6"/>
        <v>0</v>
      </c>
      <c r="Q251" s="27" t="b">
        <f t="shared" si="8"/>
        <v>0</v>
      </c>
    </row>
    <row r="252">
      <c r="F252" s="8">
        <v>249.0</v>
      </c>
      <c r="G252" s="11">
        <f t="shared" si="1"/>
        <v>2409375</v>
      </c>
      <c r="H252" s="9">
        <f>INT(IF(AND('Lån Översikt'!$D$7="JA", 'Lån Översikt'!$D$11="JA", 'Lån Översikt'!$D$8="JA"), (G252*(('Lån Översikt'!$C$7/100*'Lån Översikt'!$C$11/100)-'Lån Översikt'!$C$8/100))/12, IF(AND('Lån Översikt'!$D$7="JA", 'Lån Översikt'!$D$11="JA", 'Lån Översikt'!$D$8="NEJ"), (G252*(('Lån Översikt'!$C$7/100*'Lån Översikt'!$C$11/100))/12), 0)))
</f>
        <v>6157</v>
      </c>
      <c r="I252" s="8">
        <f t="shared" si="2"/>
        <v>4712</v>
      </c>
      <c r="J252" s="8">
        <f>IF(AND(P252, O252), 0, IF(O252, INT((('Lån Översikt'!$C$5 * 1 / 100) / 12)), INT((('Lån Översikt'!$C$5 * 'Lån Översikt'!$C$15 / 100) / 12))))
</f>
        <v>3125</v>
      </c>
      <c r="K252" s="8">
        <f t="shared" si="3"/>
        <v>4166</v>
      </c>
      <c r="L252" s="8">
        <f t="shared" si="4"/>
        <v>18160</v>
      </c>
      <c r="M252" s="8">
        <f>(L252 + 'Lån Översikt'!$D$50)</f>
        <v>40109</v>
      </c>
      <c r="N252" s="8">
        <f>IF('Lån Översikt'!$D$22 = "JA", 
    IF(Q252 = TRUE, 'Lån Översikt'!$D$24 - M252, 'Lån Översikt'!$D$24 - M252 + 18300), 
    'Lån Översikt'!$D$24 - M252)
</f>
        <v>9691</v>
      </c>
      <c r="O252" s="25" t="b">
        <f t="shared" si="5"/>
        <v>1</v>
      </c>
      <c r="P252" s="26" t="b">
        <f t="shared" si="6"/>
        <v>0</v>
      </c>
      <c r="Q252" s="27" t="b">
        <f t="shared" si="8"/>
        <v>0</v>
      </c>
    </row>
    <row r="253">
      <c r="F253" s="8">
        <v>250.0</v>
      </c>
      <c r="G253" s="11">
        <f t="shared" si="1"/>
        <v>2406250</v>
      </c>
      <c r="H253" s="9">
        <f>INT(IF(AND('Lån Översikt'!$D$7="JA", 'Lån Översikt'!$D$11="JA", 'Lån Översikt'!$D$8="JA"), (G253*(('Lån Översikt'!$C$7/100*'Lån Översikt'!$C$11/100)-'Lån Översikt'!$C$8/100))/12, IF(AND('Lån Översikt'!$D$7="JA", 'Lån Översikt'!$D$11="JA", 'Lån Översikt'!$D$8="NEJ"), (G253*(('Lån Översikt'!$C$7/100*'Lån Översikt'!$C$11/100))/12), 0)))
</f>
        <v>6149</v>
      </c>
      <c r="I253" s="8">
        <f t="shared" si="2"/>
        <v>4712</v>
      </c>
      <c r="J253" s="8">
        <f>IF(AND(P253, O253), 0, IF(O253, INT((('Lån Översikt'!$C$5 * 1 / 100) / 12)), INT((('Lån Översikt'!$C$5 * 'Lån Översikt'!$C$15 / 100) / 12))))
</f>
        <v>3125</v>
      </c>
      <c r="K253" s="8">
        <f t="shared" si="3"/>
        <v>4166</v>
      </c>
      <c r="L253" s="8">
        <f t="shared" si="4"/>
        <v>18152</v>
      </c>
      <c r="M253" s="8">
        <f>(L253 + 'Lån Översikt'!$D$50)</f>
        <v>40101</v>
      </c>
      <c r="N253" s="8">
        <f>IF('Lån Översikt'!$D$22 = "JA", 
    IF(Q253 = TRUE, 'Lån Översikt'!$D$24 - M253, 'Lån Översikt'!$D$24 - M253 + 18300), 
    'Lån Översikt'!$D$24 - M253)
</f>
        <v>9699</v>
      </c>
      <c r="O253" s="25" t="b">
        <f t="shared" si="5"/>
        <v>1</v>
      </c>
      <c r="P253" s="26" t="b">
        <f t="shared" si="6"/>
        <v>0</v>
      </c>
      <c r="Q253" s="27" t="b">
        <f t="shared" si="8"/>
        <v>0</v>
      </c>
    </row>
    <row r="254">
      <c r="F254" s="8">
        <v>251.0</v>
      </c>
      <c r="G254" s="11">
        <f t="shared" si="1"/>
        <v>2403125</v>
      </c>
      <c r="H254" s="9">
        <f>INT(IF(AND('Lån Översikt'!$D$7="JA", 'Lån Översikt'!$D$11="JA", 'Lån Översikt'!$D$8="JA"), (G254*(('Lån Översikt'!$C$7/100*'Lån Översikt'!$C$11/100)-'Lån Översikt'!$C$8/100))/12, IF(AND('Lån Översikt'!$D$7="JA", 'Lån Översikt'!$D$11="JA", 'Lån Översikt'!$D$8="NEJ"), (G254*(('Lån Översikt'!$C$7/100*'Lån Översikt'!$C$11/100))/12), 0)))
</f>
        <v>6141</v>
      </c>
      <c r="I254" s="8">
        <f t="shared" si="2"/>
        <v>4712</v>
      </c>
      <c r="J254" s="8">
        <f>IF(AND(P254, O254), 0, IF(O254, INT((('Lån Översikt'!$C$5 * 1 / 100) / 12)), INT((('Lån Översikt'!$C$5 * 'Lån Översikt'!$C$15 / 100) / 12))))
</f>
        <v>3125</v>
      </c>
      <c r="K254" s="8">
        <f t="shared" si="3"/>
        <v>4166</v>
      </c>
      <c r="L254" s="8">
        <f t="shared" si="4"/>
        <v>18144</v>
      </c>
      <c r="M254" s="8">
        <f>(L254 + 'Lån Översikt'!$D$50)</f>
        <v>40093</v>
      </c>
      <c r="N254" s="8">
        <f>IF('Lån Översikt'!$D$22 = "JA", 
    IF(Q254 = TRUE, 'Lån Översikt'!$D$24 - M254, 'Lån Översikt'!$D$24 - M254 + 18300), 
    'Lån Översikt'!$D$24 - M254)
</f>
        <v>9707</v>
      </c>
      <c r="O254" s="25" t="b">
        <f t="shared" si="5"/>
        <v>1</v>
      </c>
      <c r="P254" s="26" t="b">
        <f t="shared" si="6"/>
        <v>0</v>
      </c>
      <c r="Q254" s="27" t="b">
        <f t="shared" si="8"/>
        <v>0</v>
      </c>
    </row>
    <row r="255">
      <c r="F255" s="8">
        <v>252.0</v>
      </c>
      <c r="G255" s="11">
        <f t="shared" si="1"/>
        <v>2400000</v>
      </c>
      <c r="H255" s="9">
        <f>INT(IF(AND('Lån Översikt'!$D$7="JA", 'Lån Översikt'!$D$11="JA", 'Lån Översikt'!$D$8="JA"), (G255*(('Lån Översikt'!$C$7/100*'Lån Översikt'!$C$11/100)-'Lån Översikt'!$C$8/100))/12, IF(AND('Lån Översikt'!$D$7="JA", 'Lån Översikt'!$D$11="JA", 'Lån Översikt'!$D$8="NEJ"), (G255*(('Lån Översikt'!$C$7/100*'Lån Översikt'!$C$11/100))/12), 0)))
</f>
        <v>6134</v>
      </c>
      <c r="I255" s="8">
        <f t="shared" si="2"/>
        <v>4712</v>
      </c>
      <c r="J255" s="8">
        <f>IF(AND(P255, O255), 0, IF(O255, INT((('Lån Översikt'!$C$5 * 1 / 100) / 12)), INT((('Lån Översikt'!$C$5 * 'Lån Översikt'!$C$15 / 100) / 12))))
</f>
        <v>3125</v>
      </c>
      <c r="K255" s="8">
        <f t="shared" si="3"/>
        <v>4166</v>
      </c>
      <c r="L255" s="8">
        <f t="shared" si="4"/>
        <v>18137</v>
      </c>
      <c r="M255" s="8">
        <f>(L255 + 'Lån Översikt'!$D$50)</f>
        <v>40086</v>
      </c>
      <c r="N255" s="8">
        <f>IF('Lån Översikt'!$D$22 = "JA", 
    IF(Q255 = TRUE, 'Lån Översikt'!$D$24 - M255, 'Lån Översikt'!$D$24 - M255 + 18300), 
    'Lån Översikt'!$D$24 - M255)
</f>
        <v>9714</v>
      </c>
      <c r="O255" s="25" t="b">
        <f t="shared" si="5"/>
        <v>1</v>
      </c>
      <c r="P255" s="26" t="b">
        <f t="shared" si="6"/>
        <v>0</v>
      </c>
      <c r="Q255" s="27" t="b">
        <f t="shared" si="8"/>
        <v>0</v>
      </c>
    </row>
    <row r="256">
      <c r="F256" s="8">
        <v>253.0</v>
      </c>
      <c r="G256" s="11">
        <f t="shared" si="1"/>
        <v>2396875</v>
      </c>
      <c r="H256" s="9">
        <f>INT(IF(AND('Lån Översikt'!$D$7="JA", 'Lån Översikt'!$D$11="JA", 'Lån Översikt'!$D$8="JA"), (G256*(('Lån Översikt'!$C$7/100*'Lån Översikt'!$C$11/100)-'Lån Översikt'!$C$8/100))/12, IF(AND('Lån Översikt'!$D$7="JA", 'Lån Översikt'!$D$11="JA", 'Lån Översikt'!$D$8="NEJ"), (G256*(('Lån Översikt'!$C$7/100*'Lån Översikt'!$C$11/100))/12), 0)))
</f>
        <v>6126</v>
      </c>
      <c r="I256" s="8">
        <f t="shared" si="2"/>
        <v>4712</v>
      </c>
      <c r="J256" s="8">
        <f>IF(AND(P256, O256), 0, IF(O256, INT((('Lån Översikt'!$C$5 * 1 / 100) / 12)), INT((('Lån Översikt'!$C$5 * 'Lån Översikt'!$C$15 / 100) / 12))))
</f>
        <v>3125</v>
      </c>
      <c r="K256" s="8">
        <f t="shared" si="3"/>
        <v>4166</v>
      </c>
      <c r="L256" s="8">
        <f t="shared" si="4"/>
        <v>18129</v>
      </c>
      <c r="M256" s="8">
        <f>(L256 + 'Lån Översikt'!$D$50)</f>
        <v>40078</v>
      </c>
      <c r="N256" s="8">
        <f>IF('Lån Översikt'!$D$22 = "JA", 
    IF(Q256 = TRUE, 'Lån Översikt'!$D$24 - M256, 'Lån Översikt'!$D$24 - M256 + 18300), 
    'Lån Översikt'!$D$24 - M256)
</f>
        <v>9722</v>
      </c>
      <c r="O256" s="25" t="b">
        <f t="shared" si="5"/>
        <v>1</v>
      </c>
      <c r="P256" s="26" t="b">
        <f t="shared" si="6"/>
        <v>0</v>
      </c>
      <c r="Q256" s="27" t="b">
        <f t="shared" si="8"/>
        <v>0</v>
      </c>
    </row>
    <row r="257">
      <c r="F257" s="8">
        <v>254.0</v>
      </c>
      <c r="G257" s="11">
        <f t="shared" si="1"/>
        <v>2393750</v>
      </c>
      <c r="H257" s="9">
        <f>INT(IF(AND('Lån Översikt'!$D$7="JA", 'Lån Översikt'!$D$11="JA", 'Lån Översikt'!$D$8="JA"), (G257*(('Lån Översikt'!$C$7/100*'Lån Översikt'!$C$11/100)-'Lån Översikt'!$C$8/100))/12, IF(AND('Lån Översikt'!$D$7="JA", 'Lån Översikt'!$D$11="JA", 'Lån Översikt'!$D$8="NEJ"), (G257*(('Lån Översikt'!$C$7/100*'Lån Översikt'!$C$11/100))/12), 0)))
</f>
        <v>6118</v>
      </c>
      <c r="I257" s="8">
        <f t="shared" si="2"/>
        <v>4712</v>
      </c>
      <c r="J257" s="8">
        <f>IF(AND(P257, O257), 0, IF(O257, INT((('Lån Översikt'!$C$5 * 1 / 100) / 12)), INT((('Lån Översikt'!$C$5 * 'Lån Översikt'!$C$15 / 100) / 12))))
</f>
        <v>3125</v>
      </c>
      <c r="K257" s="8">
        <f t="shared" si="3"/>
        <v>4166</v>
      </c>
      <c r="L257" s="8">
        <f t="shared" si="4"/>
        <v>18121</v>
      </c>
      <c r="M257" s="8">
        <f>(L257 + 'Lån Översikt'!$D$50)</f>
        <v>40070</v>
      </c>
      <c r="N257" s="8">
        <f>IF('Lån Översikt'!$D$22 = "JA", 
    IF(Q257 = TRUE, 'Lån Översikt'!$D$24 - M257, 'Lån Översikt'!$D$24 - M257 + 18300), 
    'Lån Översikt'!$D$24 - M257)
</f>
        <v>9730</v>
      </c>
      <c r="O257" s="25" t="b">
        <f t="shared" si="5"/>
        <v>1</v>
      </c>
      <c r="P257" s="26" t="b">
        <f t="shared" si="6"/>
        <v>0</v>
      </c>
      <c r="Q257" s="27" t="b">
        <f t="shared" si="8"/>
        <v>0</v>
      </c>
    </row>
    <row r="258">
      <c r="F258" s="8">
        <v>255.0</v>
      </c>
      <c r="G258" s="11">
        <f t="shared" si="1"/>
        <v>2390625</v>
      </c>
      <c r="H258" s="9">
        <f>INT(IF(AND('Lån Översikt'!$D$7="JA", 'Lån Översikt'!$D$11="JA", 'Lån Översikt'!$D$8="JA"), (G258*(('Lån Översikt'!$C$7/100*'Lån Översikt'!$C$11/100)-'Lån Översikt'!$C$8/100))/12, IF(AND('Lån Översikt'!$D$7="JA", 'Lån Översikt'!$D$11="JA", 'Lån Översikt'!$D$8="NEJ"), (G258*(('Lån Översikt'!$C$7/100*'Lån Översikt'!$C$11/100))/12), 0)))
</f>
        <v>6110</v>
      </c>
      <c r="I258" s="8">
        <f t="shared" si="2"/>
        <v>4712</v>
      </c>
      <c r="J258" s="8">
        <f>IF(AND(P258, O258), 0, IF(O258, INT((('Lån Översikt'!$C$5 * 1 / 100) / 12)), INT((('Lån Översikt'!$C$5 * 'Lån Översikt'!$C$15 / 100) / 12))))
</f>
        <v>3125</v>
      </c>
      <c r="K258" s="8">
        <f t="shared" si="3"/>
        <v>4166</v>
      </c>
      <c r="L258" s="8">
        <f t="shared" si="4"/>
        <v>18113</v>
      </c>
      <c r="M258" s="8">
        <f>(L258 + 'Lån Översikt'!$D$50)</f>
        <v>40062</v>
      </c>
      <c r="N258" s="8">
        <f>IF('Lån Översikt'!$D$22 = "JA", 
    IF(Q258 = TRUE, 'Lån Översikt'!$D$24 - M258, 'Lån Översikt'!$D$24 - M258 + 18300), 
    'Lån Översikt'!$D$24 - M258)
</f>
        <v>9738</v>
      </c>
      <c r="O258" s="25" t="b">
        <f t="shared" si="5"/>
        <v>1</v>
      </c>
      <c r="P258" s="26" t="b">
        <f t="shared" si="6"/>
        <v>0</v>
      </c>
      <c r="Q258" s="27" t="b">
        <f t="shared" si="8"/>
        <v>0</v>
      </c>
    </row>
    <row r="259">
      <c r="F259" s="8">
        <v>256.0</v>
      </c>
      <c r="G259" s="11">
        <f t="shared" si="1"/>
        <v>2387500</v>
      </c>
      <c r="H259" s="9">
        <f>INT(IF(AND('Lån Översikt'!$D$7="JA", 'Lån Översikt'!$D$11="JA", 'Lån Översikt'!$D$8="JA"), (G259*(('Lån Översikt'!$C$7/100*'Lån Översikt'!$C$11/100)-'Lån Översikt'!$C$8/100))/12, IF(AND('Lån Översikt'!$D$7="JA", 'Lån Översikt'!$D$11="JA", 'Lån Översikt'!$D$8="NEJ"), (G259*(('Lån Översikt'!$C$7/100*'Lån Översikt'!$C$11/100))/12), 0)))
</f>
        <v>6102</v>
      </c>
      <c r="I259" s="8">
        <f t="shared" si="2"/>
        <v>4712</v>
      </c>
      <c r="J259" s="8">
        <f>IF(AND(P259, O259), 0, IF(O259, INT((('Lån Översikt'!$C$5 * 1 / 100) / 12)), INT((('Lån Översikt'!$C$5 * 'Lån Översikt'!$C$15 / 100) / 12))))
</f>
        <v>3125</v>
      </c>
      <c r="K259" s="8">
        <f t="shared" si="3"/>
        <v>4166</v>
      </c>
      <c r="L259" s="8">
        <f t="shared" si="4"/>
        <v>18105</v>
      </c>
      <c r="M259" s="8">
        <f>(L259 + 'Lån Översikt'!$D$50)</f>
        <v>40054</v>
      </c>
      <c r="N259" s="8">
        <f>IF('Lån Översikt'!$D$22 = "JA", 
    IF(Q259 = TRUE, 'Lån Översikt'!$D$24 - M259, 'Lån Översikt'!$D$24 - M259 + 18300), 
    'Lån Översikt'!$D$24 - M259)
</f>
        <v>9746</v>
      </c>
      <c r="O259" s="25" t="b">
        <f t="shared" si="5"/>
        <v>1</v>
      </c>
      <c r="P259" s="26" t="b">
        <f t="shared" si="6"/>
        <v>0</v>
      </c>
      <c r="Q259" s="27" t="b">
        <f t="shared" si="8"/>
        <v>0</v>
      </c>
    </row>
    <row r="260">
      <c r="F260" s="8">
        <v>257.0</v>
      </c>
      <c r="G260" s="11">
        <f t="shared" si="1"/>
        <v>2384375</v>
      </c>
      <c r="H260" s="9">
        <f>INT(IF(AND('Lån Översikt'!$D$7="JA", 'Lån Översikt'!$D$11="JA", 'Lån Översikt'!$D$8="JA"), (G260*(('Lån Översikt'!$C$7/100*'Lån Översikt'!$C$11/100)-'Lån Översikt'!$C$8/100))/12, IF(AND('Lån Översikt'!$D$7="JA", 'Lån Översikt'!$D$11="JA", 'Lån Översikt'!$D$8="NEJ"), (G260*(('Lån Översikt'!$C$7/100*'Lån Översikt'!$C$11/100))/12), 0)))
</f>
        <v>6094</v>
      </c>
      <c r="I260" s="8">
        <f t="shared" si="2"/>
        <v>4712</v>
      </c>
      <c r="J260" s="8">
        <f>IF(AND(P260, O260), 0, IF(O260, INT((('Lån Översikt'!$C$5 * 1 / 100) / 12)), INT((('Lån Översikt'!$C$5 * 'Lån Översikt'!$C$15 / 100) / 12))))
</f>
        <v>3125</v>
      </c>
      <c r="K260" s="8">
        <f t="shared" si="3"/>
        <v>4166</v>
      </c>
      <c r="L260" s="8">
        <f t="shared" si="4"/>
        <v>18097</v>
      </c>
      <c r="M260" s="8">
        <f>(L260 + 'Lån Översikt'!$D$50)</f>
        <v>40046</v>
      </c>
      <c r="N260" s="8">
        <f>IF('Lån Översikt'!$D$22 = "JA", 
    IF(Q260 = TRUE, 'Lån Översikt'!$D$24 - M260, 'Lån Översikt'!$D$24 - M260 + 18300), 
    'Lån Översikt'!$D$24 - M260)
</f>
        <v>9754</v>
      </c>
      <c r="O260" s="25" t="b">
        <f t="shared" si="5"/>
        <v>1</v>
      </c>
      <c r="P260" s="26" t="b">
        <f t="shared" si="6"/>
        <v>0</v>
      </c>
      <c r="Q260" s="27" t="b">
        <f t="shared" si="8"/>
        <v>0</v>
      </c>
    </row>
    <row r="261">
      <c r="F261" s="8">
        <v>258.0</v>
      </c>
      <c r="G261" s="11">
        <f t="shared" si="1"/>
        <v>2381250</v>
      </c>
      <c r="H261" s="9">
        <f>INT(IF(AND('Lån Översikt'!$D$7="JA", 'Lån Översikt'!$D$11="JA", 'Lån Översikt'!$D$8="JA"), (G261*(('Lån Översikt'!$C$7/100*'Lån Översikt'!$C$11/100)-'Lån Översikt'!$C$8/100))/12, IF(AND('Lån Översikt'!$D$7="JA", 'Lån Översikt'!$D$11="JA", 'Lån Översikt'!$D$8="NEJ"), (G261*(('Lån Översikt'!$C$7/100*'Lån Översikt'!$C$11/100))/12), 0)))
</f>
        <v>6086</v>
      </c>
      <c r="I261" s="8">
        <f t="shared" si="2"/>
        <v>4712</v>
      </c>
      <c r="J261" s="8">
        <f>IF(AND(P261, O261), 0, IF(O261, INT((('Lån Översikt'!$C$5 * 1 / 100) / 12)), INT((('Lån Översikt'!$C$5 * 'Lån Översikt'!$C$15 / 100) / 12))))
</f>
        <v>3125</v>
      </c>
      <c r="K261" s="8">
        <f t="shared" si="3"/>
        <v>4166</v>
      </c>
      <c r="L261" s="8">
        <f t="shared" si="4"/>
        <v>18089</v>
      </c>
      <c r="M261" s="8">
        <f>(L261 + 'Lån Översikt'!$D$50)</f>
        <v>40038</v>
      </c>
      <c r="N261" s="8">
        <f>IF('Lån Översikt'!$D$22 = "JA", 
    IF(Q261 = TRUE, 'Lån Översikt'!$D$24 - M261, 'Lån Översikt'!$D$24 - M261 + 18300), 
    'Lån Översikt'!$D$24 - M261)
</f>
        <v>9762</v>
      </c>
      <c r="O261" s="25" t="b">
        <f t="shared" si="5"/>
        <v>1</v>
      </c>
      <c r="P261" s="26" t="b">
        <f t="shared" si="6"/>
        <v>0</v>
      </c>
      <c r="Q261" s="27" t="b">
        <f t="shared" si="8"/>
        <v>0</v>
      </c>
    </row>
    <row r="262">
      <c r="F262" s="8">
        <v>259.0</v>
      </c>
      <c r="G262" s="11">
        <f t="shared" si="1"/>
        <v>2378125</v>
      </c>
      <c r="H262" s="9">
        <f>INT(IF(AND('Lån Översikt'!$D$7="JA", 'Lån Översikt'!$D$11="JA", 'Lån Översikt'!$D$8="JA"), (G262*(('Lån Översikt'!$C$7/100*'Lån Översikt'!$C$11/100)-'Lån Översikt'!$C$8/100))/12, IF(AND('Lån Översikt'!$D$7="JA", 'Lån Översikt'!$D$11="JA", 'Lån Översikt'!$D$8="NEJ"), (G262*(('Lån Översikt'!$C$7/100*'Lån Översikt'!$C$11/100))/12), 0)))
</f>
        <v>6078</v>
      </c>
      <c r="I262" s="8">
        <f t="shared" si="2"/>
        <v>4712</v>
      </c>
      <c r="J262" s="8">
        <f>IF(AND(P262, O262), 0, IF(O262, INT((('Lån Översikt'!$C$5 * 1 / 100) / 12)), INT((('Lån Översikt'!$C$5 * 'Lån Översikt'!$C$15 / 100) / 12))))
</f>
        <v>3125</v>
      </c>
      <c r="K262" s="8">
        <f t="shared" si="3"/>
        <v>4166</v>
      </c>
      <c r="L262" s="8">
        <f t="shared" si="4"/>
        <v>18081</v>
      </c>
      <c r="M262" s="8">
        <f>(L262 + 'Lån Översikt'!$D$50)</f>
        <v>40030</v>
      </c>
      <c r="N262" s="8">
        <f>IF('Lån Översikt'!$D$22 = "JA", 
    IF(Q262 = TRUE, 'Lån Översikt'!$D$24 - M262, 'Lån Översikt'!$D$24 - M262 + 18300), 
    'Lån Översikt'!$D$24 - M262)
</f>
        <v>9770</v>
      </c>
      <c r="O262" s="25" t="b">
        <f t="shared" si="5"/>
        <v>1</v>
      </c>
      <c r="P262" s="26" t="b">
        <f t="shared" si="6"/>
        <v>0</v>
      </c>
      <c r="Q262" s="27" t="b">
        <f t="shared" si="8"/>
        <v>0</v>
      </c>
    </row>
    <row r="263">
      <c r="F263" s="8">
        <v>260.0</v>
      </c>
      <c r="G263" s="11">
        <f t="shared" si="1"/>
        <v>2375000</v>
      </c>
      <c r="H263" s="9">
        <f>INT(IF(AND('Lån Översikt'!$D$7="JA", 'Lån Översikt'!$D$11="JA", 'Lån Översikt'!$D$8="JA"), (G263*(('Lån Översikt'!$C$7/100*'Lån Översikt'!$C$11/100)-'Lån Översikt'!$C$8/100))/12, IF(AND('Lån Översikt'!$D$7="JA", 'Lån Översikt'!$D$11="JA", 'Lån Översikt'!$D$8="NEJ"), (G263*(('Lån Översikt'!$C$7/100*'Lån Översikt'!$C$11/100))/12), 0)))
</f>
        <v>6070</v>
      </c>
      <c r="I263" s="8">
        <f t="shared" si="2"/>
        <v>4712</v>
      </c>
      <c r="J263" s="8">
        <f>IF(AND(P263, O263), 0, IF(O263, INT((('Lån Översikt'!$C$5 * 1 / 100) / 12)), INT((('Lån Översikt'!$C$5 * 'Lån Översikt'!$C$15 / 100) / 12))))
</f>
        <v>3125</v>
      </c>
      <c r="K263" s="8">
        <f t="shared" si="3"/>
        <v>4166</v>
      </c>
      <c r="L263" s="8">
        <f t="shared" si="4"/>
        <v>18073</v>
      </c>
      <c r="M263" s="8">
        <f>(L263 + 'Lån Översikt'!$D$50)</f>
        <v>40022</v>
      </c>
      <c r="N263" s="8">
        <f>IF('Lån Översikt'!$D$22 = "JA", 
    IF(Q263 = TRUE, 'Lån Översikt'!$D$24 - M263, 'Lån Översikt'!$D$24 - M263 + 18300), 
    'Lån Översikt'!$D$24 - M263)
</f>
        <v>9778</v>
      </c>
      <c r="O263" s="25" t="b">
        <f t="shared" si="5"/>
        <v>1</v>
      </c>
      <c r="P263" s="26" t="b">
        <f t="shared" si="6"/>
        <v>0</v>
      </c>
      <c r="Q263" s="27" t="b">
        <f t="shared" si="8"/>
        <v>0</v>
      </c>
    </row>
    <row r="264">
      <c r="F264" s="8">
        <v>261.0</v>
      </c>
      <c r="G264" s="11">
        <f t="shared" si="1"/>
        <v>2371875</v>
      </c>
      <c r="H264" s="9">
        <f>INT(IF(AND('Lån Översikt'!$D$7="JA", 'Lån Översikt'!$D$11="JA", 'Lån Översikt'!$D$8="JA"), (G264*(('Lån Översikt'!$C$7/100*'Lån Översikt'!$C$11/100)-'Lån Översikt'!$C$8/100))/12, IF(AND('Lån Översikt'!$D$7="JA", 'Lån Översikt'!$D$11="JA", 'Lån Översikt'!$D$8="NEJ"), (G264*(('Lån Översikt'!$C$7/100*'Lån Översikt'!$C$11/100))/12), 0)))
</f>
        <v>6062</v>
      </c>
      <c r="I264" s="8">
        <f t="shared" si="2"/>
        <v>4712</v>
      </c>
      <c r="J264" s="8">
        <f>IF(AND(P264, O264), 0, IF(O264, INT((('Lån Översikt'!$C$5 * 1 / 100) / 12)), INT((('Lån Översikt'!$C$5 * 'Lån Översikt'!$C$15 / 100) / 12))))
</f>
        <v>3125</v>
      </c>
      <c r="K264" s="8">
        <f t="shared" si="3"/>
        <v>4166</v>
      </c>
      <c r="L264" s="8">
        <f t="shared" si="4"/>
        <v>18065</v>
      </c>
      <c r="M264" s="8">
        <f>(L264 + 'Lån Översikt'!$D$50)</f>
        <v>40014</v>
      </c>
      <c r="N264" s="8">
        <f>IF('Lån Översikt'!$D$22 = "JA", 
    IF(Q264 = TRUE, 'Lån Översikt'!$D$24 - M264, 'Lån Översikt'!$D$24 - M264 + 18300), 
    'Lån Översikt'!$D$24 - M264)
</f>
        <v>9786</v>
      </c>
      <c r="O264" s="25" t="b">
        <f t="shared" si="5"/>
        <v>1</v>
      </c>
      <c r="P264" s="26" t="b">
        <f t="shared" si="6"/>
        <v>0</v>
      </c>
      <c r="Q264" s="27" t="b">
        <f t="shared" si="8"/>
        <v>0</v>
      </c>
    </row>
    <row r="265">
      <c r="F265" s="8">
        <v>262.0</v>
      </c>
      <c r="G265" s="11">
        <f t="shared" si="1"/>
        <v>2368750</v>
      </c>
      <c r="H265" s="9">
        <f>INT(IF(AND('Lån Översikt'!$D$7="JA", 'Lån Översikt'!$D$11="JA", 'Lån Översikt'!$D$8="JA"), (G265*(('Lån Översikt'!$C$7/100*'Lån Översikt'!$C$11/100)-'Lån Översikt'!$C$8/100))/12, IF(AND('Lån Översikt'!$D$7="JA", 'Lån Översikt'!$D$11="JA", 'Lån Översikt'!$D$8="NEJ"), (G265*(('Lån Översikt'!$C$7/100*'Lån Översikt'!$C$11/100))/12), 0)))
</f>
        <v>6054</v>
      </c>
      <c r="I265" s="8">
        <f t="shared" si="2"/>
        <v>4712</v>
      </c>
      <c r="J265" s="8">
        <f>IF(AND(P265, O265), 0, IF(O265, INT((('Lån Översikt'!$C$5 * 1 / 100) / 12)), INT((('Lån Översikt'!$C$5 * 'Lån Översikt'!$C$15 / 100) / 12))))
</f>
        <v>3125</v>
      </c>
      <c r="K265" s="8">
        <f t="shared" si="3"/>
        <v>4166</v>
      </c>
      <c r="L265" s="8">
        <f t="shared" si="4"/>
        <v>18057</v>
      </c>
      <c r="M265" s="8">
        <f>(L265 + 'Lån Översikt'!$D$50)</f>
        <v>40006</v>
      </c>
      <c r="N265" s="8">
        <f>IF('Lån Översikt'!$D$22 = "JA", 
    IF(Q265 = TRUE, 'Lån Översikt'!$D$24 - M265, 'Lån Översikt'!$D$24 - M265 + 18300), 
    'Lån Översikt'!$D$24 - M265)
</f>
        <v>9794</v>
      </c>
      <c r="O265" s="25" t="b">
        <f t="shared" si="5"/>
        <v>1</v>
      </c>
      <c r="P265" s="26" t="b">
        <f t="shared" si="6"/>
        <v>0</v>
      </c>
      <c r="Q265" s="27" t="b">
        <f t="shared" si="8"/>
        <v>0</v>
      </c>
    </row>
    <row r="266">
      <c r="F266" s="8">
        <v>263.0</v>
      </c>
      <c r="G266" s="11">
        <f t="shared" si="1"/>
        <v>2365625</v>
      </c>
      <c r="H266" s="9">
        <f>INT(IF(AND('Lån Översikt'!$D$7="JA", 'Lån Översikt'!$D$11="JA", 'Lån Översikt'!$D$8="JA"), (G266*(('Lån Översikt'!$C$7/100*'Lån Översikt'!$C$11/100)-'Lån Översikt'!$C$8/100))/12, IF(AND('Lån Översikt'!$D$7="JA", 'Lån Översikt'!$D$11="JA", 'Lån Översikt'!$D$8="NEJ"), (G266*(('Lån Översikt'!$C$7/100*'Lån Översikt'!$C$11/100))/12), 0)))
</f>
        <v>6046</v>
      </c>
      <c r="I266" s="8">
        <f t="shared" si="2"/>
        <v>4712</v>
      </c>
      <c r="J266" s="8">
        <f>IF(AND(P266, O266), 0, IF(O266, INT((('Lån Översikt'!$C$5 * 1 / 100) / 12)), INT((('Lån Översikt'!$C$5 * 'Lån Översikt'!$C$15 / 100) / 12))))
</f>
        <v>3125</v>
      </c>
      <c r="K266" s="8">
        <f t="shared" si="3"/>
        <v>4166</v>
      </c>
      <c r="L266" s="8">
        <f t="shared" si="4"/>
        <v>18049</v>
      </c>
      <c r="M266" s="8">
        <f>(L266 + 'Lån Översikt'!$D$50)</f>
        <v>39998</v>
      </c>
      <c r="N266" s="8">
        <f>IF('Lån Översikt'!$D$22 = "JA", 
    IF(Q266 = TRUE, 'Lån Översikt'!$D$24 - M266, 'Lån Översikt'!$D$24 - M266 + 18300), 
    'Lån Översikt'!$D$24 - M266)
</f>
        <v>9802</v>
      </c>
      <c r="O266" s="25" t="b">
        <f t="shared" si="5"/>
        <v>1</v>
      </c>
      <c r="P266" s="26" t="b">
        <f t="shared" si="6"/>
        <v>0</v>
      </c>
      <c r="Q266" s="27" t="b">
        <f t="shared" si="8"/>
        <v>0</v>
      </c>
    </row>
    <row r="267">
      <c r="F267" s="8">
        <v>264.0</v>
      </c>
      <c r="G267" s="11">
        <f t="shared" si="1"/>
        <v>2362500</v>
      </c>
      <c r="H267" s="9">
        <f>INT(IF(AND('Lån Översikt'!$D$7="JA", 'Lån Översikt'!$D$11="JA", 'Lån Översikt'!$D$8="JA"), (G267*(('Lån Översikt'!$C$7/100*'Lån Översikt'!$C$11/100)-'Lån Översikt'!$C$8/100))/12, IF(AND('Lån Översikt'!$D$7="JA", 'Lån Översikt'!$D$11="JA", 'Lån Översikt'!$D$8="NEJ"), (G267*(('Lån Översikt'!$C$7/100*'Lån Översikt'!$C$11/100))/12), 0)))
</f>
        <v>6038</v>
      </c>
      <c r="I267" s="8">
        <f t="shared" si="2"/>
        <v>4712</v>
      </c>
      <c r="J267" s="8">
        <f>IF(AND(P267, O267), 0, IF(O267, INT((('Lån Översikt'!$C$5 * 1 / 100) / 12)), INT((('Lån Översikt'!$C$5 * 'Lån Översikt'!$C$15 / 100) / 12))))
</f>
        <v>3125</v>
      </c>
      <c r="K267" s="8">
        <f t="shared" si="3"/>
        <v>4166</v>
      </c>
      <c r="L267" s="8">
        <f t="shared" si="4"/>
        <v>18041</v>
      </c>
      <c r="M267" s="8">
        <f>(L267 + 'Lån Översikt'!$D$50)</f>
        <v>39990</v>
      </c>
      <c r="N267" s="8">
        <f>IF('Lån Översikt'!$D$22 = "JA", 
    IF(Q267 = TRUE, 'Lån Översikt'!$D$24 - M267, 'Lån Översikt'!$D$24 - M267 + 18300), 
    'Lån Översikt'!$D$24 - M267)
</f>
        <v>9810</v>
      </c>
      <c r="O267" s="25" t="b">
        <f t="shared" si="5"/>
        <v>1</v>
      </c>
      <c r="P267" s="26" t="b">
        <f t="shared" si="6"/>
        <v>0</v>
      </c>
      <c r="Q267" s="27" t="b">
        <f t="shared" si="8"/>
        <v>0</v>
      </c>
    </row>
    <row r="268">
      <c r="F268" s="8">
        <v>265.0</v>
      </c>
      <c r="G268" s="11">
        <f t="shared" si="1"/>
        <v>2359375</v>
      </c>
      <c r="H268" s="9">
        <f>INT(IF(AND('Lån Översikt'!$D$7="JA", 'Lån Översikt'!$D$11="JA", 'Lån Översikt'!$D$8="JA"), (G268*(('Lån Översikt'!$C$7/100*'Lån Översikt'!$C$11/100)-'Lån Översikt'!$C$8/100))/12, IF(AND('Lån Översikt'!$D$7="JA", 'Lån Översikt'!$D$11="JA", 'Lån Översikt'!$D$8="NEJ"), (G268*(('Lån Översikt'!$C$7/100*'Lån Översikt'!$C$11/100))/12), 0)))
</f>
        <v>6030</v>
      </c>
      <c r="I268" s="8">
        <f t="shared" si="2"/>
        <v>4712</v>
      </c>
      <c r="J268" s="8">
        <f>IF(AND(P268, O268), 0, IF(O268, INT((('Lån Översikt'!$C$5 * 1 / 100) / 12)), INT((('Lån Översikt'!$C$5 * 'Lån Översikt'!$C$15 / 100) / 12))))
</f>
        <v>3125</v>
      </c>
      <c r="K268" s="8">
        <f t="shared" si="3"/>
        <v>4166</v>
      </c>
      <c r="L268" s="8">
        <f t="shared" si="4"/>
        <v>18033</v>
      </c>
      <c r="M268" s="8">
        <f>(L268 + 'Lån Översikt'!$D$50)</f>
        <v>39982</v>
      </c>
      <c r="N268" s="8">
        <f>IF('Lån Översikt'!$D$22 = "JA", 
    IF(Q268 = TRUE, 'Lån Översikt'!$D$24 - M268, 'Lån Översikt'!$D$24 - M268 + 18300), 
    'Lån Översikt'!$D$24 - M268)
</f>
        <v>9818</v>
      </c>
      <c r="O268" s="25" t="b">
        <f t="shared" si="5"/>
        <v>1</v>
      </c>
      <c r="P268" s="26" t="b">
        <f t="shared" si="6"/>
        <v>0</v>
      </c>
      <c r="Q268" s="27" t="b">
        <f t="shared" si="8"/>
        <v>0</v>
      </c>
    </row>
    <row r="269">
      <c r="F269" s="8">
        <v>266.0</v>
      </c>
      <c r="G269" s="11">
        <f t="shared" si="1"/>
        <v>2356250</v>
      </c>
      <c r="H269" s="9">
        <f>INT(IF(AND('Lån Översikt'!$D$7="JA", 'Lån Översikt'!$D$11="JA", 'Lån Översikt'!$D$8="JA"), (G269*(('Lån Översikt'!$C$7/100*'Lån Översikt'!$C$11/100)-'Lån Översikt'!$C$8/100))/12, IF(AND('Lån Översikt'!$D$7="JA", 'Lån Översikt'!$D$11="JA", 'Lån Översikt'!$D$8="NEJ"), (G269*(('Lån Översikt'!$C$7/100*'Lån Översikt'!$C$11/100))/12), 0)))
</f>
        <v>6022</v>
      </c>
      <c r="I269" s="8">
        <f t="shared" si="2"/>
        <v>4712</v>
      </c>
      <c r="J269" s="8">
        <f>IF(AND(P269, O269), 0, IF(O269, INT((('Lån Översikt'!$C$5 * 1 / 100) / 12)), INT((('Lån Översikt'!$C$5 * 'Lån Översikt'!$C$15 / 100) / 12))))
</f>
        <v>3125</v>
      </c>
      <c r="K269" s="8">
        <f t="shared" si="3"/>
        <v>4166</v>
      </c>
      <c r="L269" s="8">
        <f t="shared" si="4"/>
        <v>18025</v>
      </c>
      <c r="M269" s="8">
        <f>(L269 + 'Lån Översikt'!$D$50)</f>
        <v>39974</v>
      </c>
      <c r="N269" s="8">
        <f>IF('Lån Översikt'!$D$22 = "JA", 
    IF(Q269 = TRUE, 'Lån Översikt'!$D$24 - M269, 'Lån Översikt'!$D$24 - M269 + 18300), 
    'Lån Översikt'!$D$24 - M269)
</f>
        <v>9826</v>
      </c>
      <c r="O269" s="25" t="b">
        <f t="shared" si="5"/>
        <v>1</v>
      </c>
      <c r="P269" s="26" t="b">
        <f t="shared" si="6"/>
        <v>0</v>
      </c>
      <c r="Q269" s="27" t="b">
        <f t="shared" si="8"/>
        <v>0</v>
      </c>
    </row>
    <row r="270">
      <c r="F270" s="8">
        <v>267.0</v>
      </c>
      <c r="G270" s="11">
        <f t="shared" si="1"/>
        <v>2353125</v>
      </c>
      <c r="H270" s="9">
        <f>INT(IF(AND('Lån Översikt'!$D$7="JA", 'Lån Översikt'!$D$11="JA", 'Lån Översikt'!$D$8="JA"), (G270*(('Lån Översikt'!$C$7/100*'Lån Översikt'!$C$11/100)-'Lån Översikt'!$C$8/100))/12, IF(AND('Lån Översikt'!$D$7="JA", 'Lån Översikt'!$D$11="JA", 'Lån Översikt'!$D$8="NEJ"), (G270*(('Lån Översikt'!$C$7/100*'Lån Översikt'!$C$11/100))/12), 0)))
</f>
        <v>6014</v>
      </c>
      <c r="I270" s="8">
        <f t="shared" si="2"/>
        <v>4712</v>
      </c>
      <c r="J270" s="8">
        <f>IF(AND(P270, O270), 0, IF(O270, INT((('Lån Översikt'!$C$5 * 1 / 100) / 12)), INT((('Lån Översikt'!$C$5 * 'Lån Översikt'!$C$15 / 100) / 12))))
</f>
        <v>3125</v>
      </c>
      <c r="K270" s="8">
        <f t="shared" si="3"/>
        <v>4166</v>
      </c>
      <c r="L270" s="8">
        <f t="shared" si="4"/>
        <v>18017</v>
      </c>
      <c r="M270" s="8">
        <f>(L270 + 'Lån Översikt'!$D$50)</f>
        <v>39966</v>
      </c>
      <c r="N270" s="8">
        <f>IF('Lån Översikt'!$D$22 = "JA", 
    IF(Q270 = TRUE, 'Lån Översikt'!$D$24 - M270, 'Lån Översikt'!$D$24 - M270 + 18300), 
    'Lån Översikt'!$D$24 - M270)
</f>
        <v>9834</v>
      </c>
      <c r="O270" s="25" t="b">
        <f t="shared" si="5"/>
        <v>1</v>
      </c>
      <c r="P270" s="26" t="b">
        <f t="shared" si="6"/>
        <v>0</v>
      </c>
      <c r="Q270" s="27" t="b">
        <f t="shared" si="8"/>
        <v>0</v>
      </c>
    </row>
    <row r="271">
      <c r="F271" s="8">
        <v>268.0</v>
      </c>
      <c r="G271" s="11">
        <f t="shared" si="1"/>
        <v>2350000</v>
      </c>
      <c r="H271" s="9">
        <f>INT(IF(AND('Lån Översikt'!$D$7="JA", 'Lån Översikt'!$D$11="JA", 'Lån Översikt'!$D$8="JA"), (G271*(('Lån Översikt'!$C$7/100*'Lån Översikt'!$C$11/100)-'Lån Översikt'!$C$8/100))/12, IF(AND('Lån Översikt'!$D$7="JA", 'Lån Översikt'!$D$11="JA", 'Lån Översikt'!$D$8="NEJ"), (G271*(('Lån Översikt'!$C$7/100*'Lån Översikt'!$C$11/100))/12), 0)))
</f>
        <v>6006</v>
      </c>
      <c r="I271" s="8">
        <f t="shared" si="2"/>
        <v>4712</v>
      </c>
      <c r="J271" s="8">
        <f>IF(AND(P271, O271), 0, IF(O271, INT((('Lån Översikt'!$C$5 * 1 / 100) / 12)), INT((('Lån Översikt'!$C$5 * 'Lån Översikt'!$C$15 / 100) / 12))))
</f>
        <v>3125</v>
      </c>
      <c r="K271" s="8">
        <f t="shared" si="3"/>
        <v>4166</v>
      </c>
      <c r="L271" s="8">
        <f t="shared" si="4"/>
        <v>18009</v>
      </c>
      <c r="M271" s="8">
        <f>(L271 + 'Lån Översikt'!$D$50)</f>
        <v>39958</v>
      </c>
      <c r="N271" s="8">
        <f>IF('Lån Översikt'!$D$22 = "JA", 
    IF(Q271 = TRUE, 'Lån Översikt'!$D$24 - M271, 'Lån Översikt'!$D$24 - M271 + 18300), 
    'Lån Översikt'!$D$24 - M271)
</f>
        <v>9842</v>
      </c>
      <c r="O271" s="25" t="b">
        <f t="shared" si="5"/>
        <v>1</v>
      </c>
      <c r="P271" s="26" t="b">
        <f t="shared" si="6"/>
        <v>0</v>
      </c>
      <c r="Q271" s="27" t="b">
        <f t="shared" si="8"/>
        <v>0</v>
      </c>
    </row>
    <row r="272">
      <c r="F272" s="8">
        <v>269.0</v>
      </c>
      <c r="G272" s="11">
        <f t="shared" si="1"/>
        <v>2346875</v>
      </c>
      <c r="H272" s="9">
        <f>INT(IF(AND('Lån Översikt'!$D$7="JA", 'Lån Översikt'!$D$11="JA", 'Lån Översikt'!$D$8="JA"), (G272*(('Lån Översikt'!$C$7/100*'Lån Översikt'!$C$11/100)-'Lån Översikt'!$C$8/100))/12, IF(AND('Lån Översikt'!$D$7="JA", 'Lån Översikt'!$D$11="JA", 'Lån Översikt'!$D$8="NEJ"), (G272*(('Lån Översikt'!$C$7/100*'Lån Översikt'!$C$11/100))/12), 0)))
</f>
        <v>5998</v>
      </c>
      <c r="I272" s="8">
        <f t="shared" si="2"/>
        <v>4712</v>
      </c>
      <c r="J272" s="8">
        <f>IF(AND(P272, O272), 0, IF(O272, INT((('Lån Översikt'!$C$5 * 1 / 100) / 12)), INT((('Lån Översikt'!$C$5 * 'Lån Översikt'!$C$15 / 100) / 12))))
</f>
        <v>3125</v>
      </c>
      <c r="K272" s="8">
        <f t="shared" si="3"/>
        <v>4166</v>
      </c>
      <c r="L272" s="8">
        <f t="shared" si="4"/>
        <v>18001</v>
      </c>
      <c r="M272" s="8">
        <f>(L272 + 'Lån Översikt'!$D$50)</f>
        <v>39950</v>
      </c>
      <c r="N272" s="8">
        <f>IF('Lån Översikt'!$D$22 = "JA", 
    IF(Q272 = TRUE, 'Lån Översikt'!$D$24 - M272, 'Lån Översikt'!$D$24 - M272 + 18300), 
    'Lån Översikt'!$D$24 - M272)
</f>
        <v>9850</v>
      </c>
      <c r="O272" s="25" t="b">
        <f t="shared" si="5"/>
        <v>1</v>
      </c>
      <c r="P272" s="26" t="b">
        <f t="shared" si="6"/>
        <v>0</v>
      </c>
      <c r="Q272" s="27" t="b">
        <f t="shared" si="8"/>
        <v>0</v>
      </c>
    </row>
    <row r="273">
      <c r="F273" s="8">
        <v>270.0</v>
      </c>
      <c r="G273" s="11">
        <f t="shared" si="1"/>
        <v>2343750</v>
      </c>
      <c r="H273" s="9">
        <f>INT(IF(AND('Lån Översikt'!$D$7="JA", 'Lån Översikt'!$D$11="JA", 'Lån Översikt'!$D$8="JA"), (G273*(('Lån Översikt'!$C$7/100*'Lån Översikt'!$C$11/100)-'Lån Översikt'!$C$8/100))/12, IF(AND('Lån Översikt'!$D$7="JA", 'Lån Översikt'!$D$11="JA", 'Lån Översikt'!$D$8="NEJ"), (G273*(('Lån Översikt'!$C$7/100*'Lån Översikt'!$C$11/100))/12), 0)))
</f>
        <v>5990</v>
      </c>
      <c r="I273" s="8">
        <f t="shared" si="2"/>
        <v>4712</v>
      </c>
      <c r="J273" s="8">
        <f>IF(AND(P273, O273), 0, IF(O273, INT((('Lån Översikt'!$C$5 * 1 / 100) / 12)), INT((('Lån Översikt'!$C$5 * 'Lån Översikt'!$C$15 / 100) / 12))))
</f>
        <v>3125</v>
      </c>
      <c r="K273" s="8">
        <f t="shared" si="3"/>
        <v>4166</v>
      </c>
      <c r="L273" s="8">
        <f t="shared" si="4"/>
        <v>17993</v>
      </c>
      <c r="M273" s="8">
        <f>(L273 + 'Lån Översikt'!$D$50)</f>
        <v>39942</v>
      </c>
      <c r="N273" s="8">
        <f>IF('Lån Översikt'!$D$22 = "JA", 
    IF(Q273 = TRUE, 'Lån Översikt'!$D$24 - M273, 'Lån Översikt'!$D$24 - M273 + 18300), 
    'Lån Översikt'!$D$24 - M273)
</f>
        <v>9858</v>
      </c>
      <c r="O273" s="25" t="b">
        <f t="shared" si="5"/>
        <v>1</v>
      </c>
      <c r="P273" s="26" t="b">
        <f t="shared" si="6"/>
        <v>0</v>
      </c>
      <c r="Q273" s="27" t="b">
        <f t="shared" si="8"/>
        <v>0</v>
      </c>
    </row>
    <row r="274">
      <c r="F274" s="8">
        <v>271.0</v>
      </c>
      <c r="G274" s="11">
        <f t="shared" si="1"/>
        <v>2340625</v>
      </c>
      <c r="H274" s="9">
        <f>INT(IF(AND('Lån Översikt'!$D$7="JA", 'Lån Översikt'!$D$11="JA", 'Lån Översikt'!$D$8="JA"), (G274*(('Lån Översikt'!$C$7/100*'Lån Översikt'!$C$11/100)-'Lån Översikt'!$C$8/100))/12, IF(AND('Lån Översikt'!$D$7="JA", 'Lån Översikt'!$D$11="JA", 'Lån Översikt'!$D$8="NEJ"), (G274*(('Lån Översikt'!$C$7/100*'Lån Översikt'!$C$11/100))/12), 0)))
</f>
        <v>5982</v>
      </c>
      <c r="I274" s="8">
        <f t="shared" si="2"/>
        <v>4712</v>
      </c>
      <c r="J274" s="8">
        <f>IF(AND(P274, O274), 0, IF(O274, INT((('Lån Översikt'!$C$5 * 1 / 100) / 12)), INT((('Lån Översikt'!$C$5 * 'Lån Översikt'!$C$15 / 100) / 12))))
</f>
        <v>3125</v>
      </c>
      <c r="K274" s="8">
        <f t="shared" si="3"/>
        <v>4166</v>
      </c>
      <c r="L274" s="8">
        <f t="shared" si="4"/>
        <v>17985</v>
      </c>
      <c r="M274" s="8">
        <f>(L274 + 'Lån Översikt'!$D$50)</f>
        <v>39934</v>
      </c>
      <c r="N274" s="8">
        <f>IF('Lån Översikt'!$D$22 = "JA", 
    IF(Q274 = TRUE, 'Lån Översikt'!$D$24 - M274, 'Lån Översikt'!$D$24 - M274 + 18300), 
    'Lån Översikt'!$D$24 - M274)
</f>
        <v>9866</v>
      </c>
      <c r="O274" s="25" t="b">
        <f t="shared" si="5"/>
        <v>1</v>
      </c>
      <c r="P274" s="26" t="b">
        <f t="shared" si="6"/>
        <v>0</v>
      </c>
      <c r="Q274" s="27" t="b">
        <f t="shared" si="8"/>
        <v>0</v>
      </c>
    </row>
    <row r="275">
      <c r="F275" s="8">
        <v>272.0</v>
      </c>
      <c r="G275" s="11">
        <f t="shared" si="1"/>
        <v>2337500</v>
      </c>
      <c r="H275" s="9">
        <f>INT(IF(AND('Lån Översikt'!$D$7="JA", 'Lån Översikt'!$D$11="JA", 'Lån Översikt'!$D$8="JA"), (G275*(('Lån Översikt'!$C$7/100*'Lån Översikt'!$C$11/100)-'Lån Översikt'!$C$8/100))/12, IF(AND('Lån Översikt'!$D$7="JA", 'Lån Översikt'!$D$11="JA", 'Lån Översikt'!$D$8="NEJ"), (G275*(('Lån Översikt'!$C$7/100*'Lån Översikt'!$C$11/100))/12), 0)))
</f>
        <v>5974</v>
      </c>
      <c r="I275" s="8">
        <f t="shared" si="2"/>
        <v>4712</v>
      </c>
      <c r="J275" s="8">
        <f>IF(AND(P275, O275), 0, IF(O275, INT((('Lån Översikt'!$C$5 * 1 / 100) / 12)), INT((('Lån Översikt'!$C$5 * 'Lån Översikt'!$C$15 / 100) / 12))))
</f>
        <v>3125</v>
      </c>
      <c r="K275" s="8">
        <f t="shared" si="3"/>
        <v>4166</v>
      </c>
      <c r="L275" s="8">
        <f t="shared" si="4"/>
        <v>17977</v>
      </c>
      <c r="M275" s="8">
        <f>(L275 + 'Lån Översikt'!$D$50)</f>
        <v>39926</v>
      </c>
      <c r="N275" s="8">
        <f>IF('Lån Översikt'!$D$22 = "JA", 
    IF(Q275 = TRUE, 'Lån Översikt'!$D$24 - M275, 'Lån Översikt'!$D$24 - M275 + 18300), 
    'Lån Översikt'!$D$24 - M275)
</f>
        <v>9874</v>
      </c>
      <c r="O275" s="25" t="b">
        <f t="shared" si="5"/>
        <v>1</v>
      </c>
      <c r="P275" s="26" t="b">
        <f t="shared" si="6"/>
        <v>0</v>
      </c>
      <c r="Q275" s="27" t="b">
        <f t="shared" si="8"/>
        <v>0</v>
      </c>
    </row>
    <row r="276">
      <c r="F276" s="8">
        <v>273.0</v>
      </c>
      <c r="G276" s="11">
        <f t="shared" si="1"/>
        <v>2334375</v>
      </c>
      <c r="H276" s="9">
        <f>INT(IF(AND('Lån Översikt'!$D$7="JA", 'Lån Översikt'!$D$11="JA", 'Lån Översikt'!$D$8="JA"), (G276*(('Lån Översikt'!$C$7/100*'Lån Översikt'!$C$11/100)-'Lån Översikt'!$C$8/100))/12, IF(AND('Lån Översikt'!$D$7="JA", 'Lån Översikt'!$D$11="JA", 'Lån Översikt'!$D$8="NEJ"), (G276*(('Lån Översikt'!$C$7/100*'Lån Översikt'!$C$11/100))/12), 0)))
</f>
        <v>5966</v>
      </c>
      <c r="I276" s="8">
        <f t="shared" si="2"/>
        <v>4712</v>
      </c>
      <c r="J276" s="8">
        <f>IF(AND(P276, O276), 0, IF(O276, INT((('Lån Översikt'!$C$5 * 1 / 100) / 12)), INT((('Lån Översikt'!$C$5 * 'Lån Översikt'!$C$15 / 100) / 12))))
</f>
        <v>3125</v>
      </c>
      <c r="K276" s="8">
        <f t="shared" si="3"/>
        <v>4166</v>
      </c>
      <c r="L276" s="8">
        <f t="shared" si="4"/>
        <v>17969</v>
      </c>
      <c r="M276" s="8">
        <f>(L276 + 'Lån Översikt'!$D$50)</f>
        <v>39918</v>
      </c>
      <c r="N276" s="8">
        <f>IF('Lån Översikt'!$D$22 = "JA", 
    IF(Q276 = TRUE, 'Lån Översikt'!$D$24 - M276, 'Lån Översikt'!$D$24 - M276 + 18300), 
    'Lån Översikt'!$D$24 - M276)
</f>
        <v>9882</v>
      </c>
      <c r="O276" s="25" t="b">
        <f t="shared" si="5"/>
        <v>1</v>
      </c>
      <c r="P276" s="26" t="b">
        <f t="shared" si="6"/>
        <v>0</v>
      </c>
      <c r="Q276" s="27" t="b">
        <f t="shared" si="8"/>
        <v>0</v>
      </c>
    </row>
    <row r="277">
      <c r="F277" s="8">
        <v>274.0</v>
      </c>
      <c r="G277" s="11">
        <f t="shared" si="1"/>
        <v>2331250</v>
      </c>
      <c r="H277" s="9">
        <f>INT(IF(AND('Lån Översikt'!$D$7="JA", 'Lån Översikt'!$D$11="JA", 'Lån Översikt'!$D$8="JA"), (G277*(('Lån Översikt'!$C$7/100*'Lån Översikt'!$C$11/100)-'Lån Översikt'!$C$8/100))/12, IF(AND('Lån Översikt'!$D$7="JA", 'Lån Översikt'!$D$11="JA", 'Lån Översikt'!$D$8="NEJ"), (G277*(('Lån Översikt'!$C$7/100*'Lån Översikt'!$C$11/100))/12), 0)))
</f>
        <v>5958</v>
      </c>
      <c r="I277" s="8">
        <f t="shared" si="2"/>
        <v>4712</v>
      </c>
      <c r="J277" s="8">
        <f>IF(AND(P277, O277), 0, IF(O277, INT((('Lån Översikt'!$C$5 * 1 / 100) / 12)), INT((('Lån Översikt'!$C$5 * 'Lån Översikt'!$C$15 / 100) / 12))))
</f>
        <v>3125</v>
      </c>
      <c r="K277" s="8">
        <f t="shared" si="3"/>
        <v>4166</v>
      </c>
      <c r="L277" s="8">
        <f t="shared" si="4"/>
        <v>17961</v>
      </c>
      <c r="M277" s="8">
        <f>(L277 + 'Lån Översikt'!$D$50)</f>
        <v>39910</v>
      </c>
      <c r="N277" s="8">
        <f>IF('Lån Översikt'!$D$22 = "JA", 
    IF(Q277 = TRUE, 'Lån Översikt'!$D$24 - M277, 'Lån Översikt'!$D$24 - M277 + 18300), 
    'Lån Översikt'!$D$24 - M277)
</f>
        <v>9890</v>
      </c>
      <c r="O277" s="25" t="b">
        <f t="shared" si="5"/>
        <v>1</v>
      </c>
      <c r="P277" s="26" t="b">
        <f t="shared" si="6"/>
        <v>0</v>
      </c>
      <c r="Q277" s="27" t="b">
        <f t="shared" si="8"/>
        <v>0</v>
      </c>
    </row>
    <row r="278">
      <c r="F278" s="8">
        <v>275.0</v>
      </c>
      <c r="G278" s="11">
        <f t="shared" si="1"/>
        <v>2328125</v>
      </c>
      <c r="H278" s="9">
        <f>INT(IF(AND('Lån Översikt'!$D$7="JA", 'Lån Översikt'!$D$11="JA", 'Lån Översikt'!$D$8="JA"), (G278*(('Lån Översikt'!$C$7/100*'Lån Översikt'!$C$11/100)-'Lån Översikt'!$C$8/100))/12, IF(AND('Lån Översikt'!$D$7="JA", 'Lån Översikt'!$D$11="JA", 'Lån Översikt'!$D$8="NEJ"), (G278*(('Lån Översikt'!$C$7/100*'Lån Översikt'!$C$11/100))/12), 0)))
</f>
        <v>5950</v>
      </c>
      <c r="I278" s="8">
        <f t="shared" si="2"/>
        <v>4712</v>
      </c>
      <c r="J278" s="8">
        <f>IF(AND(P278, O278), 0, IF(O278, INT((('Lån Översikt'!$C$5 * 1 / 100) / 12)), INT((('Lån Översikt'!$C$5 * 'Lån Översikt'!$C$15 / 100) / 12))))
</f>
        <v>3125</v>
      </c>
      <c r="K278" s="8">
        <f t="shared" si="3"/>
        <v>4166</v>
      </c>
      <c r="L278" s="8">
        <f t="shared" si="4"/>
        <v>17953</v>
      </c>
      <c r="M278" s="8">
        <f>(L278 + 'Lån Översikt'!$D$50)</f>
        <v>39902</v>
      </c>
      <c r="N278" s="8">
        <f>IF('Lån Översikt'!$D$22 = "JA", 
    IF(Q278 = TRUE, 'Lån Översikt'!$D$24 - M278, 'Lån Översikt'!$D$24 - M278 + 18300), 
    'Lån Översikt'!$D$24 - M278)
</f>
        <v>9898</v>
      </c>
      <c r="O278" s="25" t="b">
        <f t="shared" si="5"/>
        <v>1</v>
      </c>
      <c r="P278" s="26" t="b">
        <f t="shared" si="6"/>
        <v>0</v>
      </c>
      <c r="Q278" s="27" t="b">
        <f t="shared" si="8"/>
        <v>0</v>
      </c>
    </row>
    <row r="279">
      <c r="F279" s="8">
        <v>276.0</v>
      </c>
      <c r="G279" s="11">
        <f t="shared" si="1"/>
        <v>2325000</v>
      </c>
      <c r="H279" s="9">
        <f>INT(IF(AND('Lån Översikt'!$D$7="JA", 'Lån Översikt'!$D$11="JA", 'Lån Översikt'!$D$8="JA"), (G279*(('Lån Översikt'!$C$7/100*'Lån Översikt'!$C$11/100)-'Lån Översikt'!$C$8/100))/12, IF(AND('Lån Översikt'!$D$7="JA", 'Lån Översikt'!$D$11="JA", 'Lån Översikt'!$D$8="NEJ"), (G279*(('Lån Översikt'!$C$7/100*'Lån Översikt'!$C$11/100))/12), 0)))
</f>
        <v>5942</v>
      </c>
      <c r="I279" s="8">
        <f t="shared" si="2"/>
        <v>4712</v>
      </c>
      <c r="J279" s="8">
        <f>IF(AND(P279, O279), 0, IF(O279, INT((('Lån Översikt'!$C$5 * 1 / 100) / 12)), INT((('Lån Översikt'!$C$5 * 'Lån Översikt'!$C$15 / 100) / 12))))
</f>
        <v>3125</v>
      </c>
      <c r="K279" s="8">
        <f t="shared" si="3"/>
        <v>4166</v>
      </c>
      <c r="L279" s="8">
        <f t="shared" si="4"/>
        <v>17945</v>
      </c>
      <c r="M279" s="8">
        <f>(L279 + 'Lån Översikt'!$D$50)</f>
        <v>39894</v>
      </c>
      <c r="N279" s="8">
        <f>IF('Lån Översikt'!$D$22 = "JA", 
    IF(Q279 = TRUE, 'Lån Översikt'!$D$24 - M279, 'Lån Översikt'!$D$24 - M279 + 18300), 
    'Lån Översikt'!$D$24 - M279)
</f>
        <v>9906</v>
      </c>
      <c r="O279" s="25" t="b">
        <f t="shared" si="5"/>
        <v>1</v>
      </c>
      <c r="P279" s="26" t="b">
        <f t="shared" si="6"/>
        <v>0</v>
      </c>
      <c r="Q279" s="27" t="b">
        <f t="shared" si="8"/>
        <v>0</v>
      </c>
    </row>
    <row r="280">
      <c r="F280" s="8">
        <v>277.0</v>
      </c>
      <c r="G280" s="11">
        <f t="shared" si="1"/>
        <v>2321875</v>
      </c>
      <c r="H280" s="9">
        <f>INT(IF(AND('Lån Översikt'!$D$7="JA", 'Lån Översikt'!$D$11="JA", 'Lån Översikt'!$D$8="JA"), (G280*(('Lån Översikt'!$C$7/100*'Lån Översikt'!$C$11/100)-'Lån Översikt'!$C$8/100))/12, IF(AND('Lån Översikt'!$D$7="JA", 'Lån Översikt'!$D$11="JA", 'Lån Översikt'!$D$8="NEJ"), (G280*(('Lån Översikt'!$C$7/100*'Lån Översikt'!$C$11/100))/12), 0)))
</f>
        <v>5934</v>
      </c>
      <c r="I280" s="8">
        <f t="shared" si="2"/>
        <v>4712</v>
      </c>
      <c r="J280" s="8">
        <f>IF(AND(P280, O280), 0, IF(O280, INT((('Lån Översikt'!$C$5 * 1 / 100) / 12)), INT((('Lån Översikt'!$C$5 * 'Lån Översikt'!$C$15 / 100) / 12))))
</f>
        <v>3125</v>
      </c>
      <c r="K280" s="8">
        <f t="shared" si="3"/>
        <v>4166</v>
      </c>
      <c r="L280" s="8">
        <f t="shared" si="4"/>
        <v>17937</v>
      </c>
      <c r="M280" s="8">
        <f>(L280 + 'Lån Översikt'!$D$50)</f>
        <v>39886</v>
      </c>
      <c r="N280" s="8">
        <f>IF('Lån Översikt'!$D$22 = "JA", 
    IF(Q280 = TRUE, 'Lån Översikt'!$D$24 - M280, 'Lån Översikt'!$D$24 - M280 + 18300), 
    'Lån Översikt'!$D$24 - M280)
</f>
        <v>9914</v>
      </c>
      <c r="O280" s="25" t="b">
        <f t="shared" si="5"/>
        <v>1</v>
      </c>
      <c r="P280" s="26" t="b">
        <f t="shared" si="6"/>
        <v>0</v>
      </c>
      <c r="Q280" s="27" t="b">
        <f t="shared" si="8"/>
        <v>0</v>
      </c>
    </row>
    <row r="281">
      <c r="F281" s="8">
        <v>278.0</v>
      </c>
      <c r="G281" s="11">
        <f t="shared" si="1"/>
        <v>2318750</v>
      </c>
      <c r="H281" s="9">
        <f>INT(IF(AND('Lån Översikt'!$D$7="JA", 'Lån Översikt'!$D$11="JA", 'Lån Översikt'!$D$8="JA"), (G281*(('Lån Översikt'!$C$7/100*'Lån Översikt'!$C$11/100)-'Lån Översikt'!$C$8/100))/12, IF(AND('Lån Översikt'!$D$7="JA", 'Lån Översikt'!$D$11="JA", 'Lån Översikt'!$D$8="NEJ"), (G281*(('Lån Översikt'!$C$7/100*'Lån Översikt'!$C$11/100))/12), 0)))
</f>
        <v>5926</v>
      </c>
      <c r="I281" s="8">
        <f t="shared" si="2"/>
        <v>4712</v>
      </c>
      <c r="J281" s="8">
        <f>IF(AND(P281, O281), 0, IF(O281, INT((('Lån Översikt'!$C$5 * 1 / 100) / 12)), INT((('Lån Översikt'!$C$5 * 'Lån Översikt'!$C$15 / 100) / 12))))
</f>
        <v>3125</v>
      </c>
      <c r="K281" s="8">
        <f t="shared" si="3"/>
        <v>4166</v>
      </c>
      <c r="L281" s="8">
        <f t="shared" si="4"/>
        <v>17929</v>
      </c>
      <c r="M281" s="8">
        <f>(L281 + 'Lån Översikt'!$D$50)</f>
        <v>39878</v>
      </c>
      <c r="N281" s="8">
        <f>IF('Lån Översikt'!$D$22 = "JA", 
    IF(Q281 = TRUE, 'Lån Översikt'!$D$24 - M281, 'Lån Översikt'!$D$24 - M281 + 18300), 
    'Lån Översikt'!$D$24 - M281)
</f>
        <v>9922</v>
      </c>
      <c r="O281" s="25" t="b">
        <f t="shared" si="5"/>
        <v>1</v>
      </c>
      <c r="P281" s="26" t="b">
        <f t="shared" si="6"/>
        <v>0</v>
      </c>
      <c r="Q281" s="27" t="b">
        <f t="shared" si="8"/>
        <v>0</v>
      </c>
    </row>
    <row r="282">
      <c r="F282" s="8">
        <v>279.0</v>
      </c>
      <c r="G282" s="11">
        <f t="shared" si="1"/>
        <v>2315625</v>
      </c>
      <c r="H282" s="9">
        <f>INT(IF(AND('Lån Översikt'!$D$7="JA", 'Lån Översikt'!$D$11="JA", 'Lån Översikt'!$D$8="JA"), (G282*(('Lån Översikt'!$C$7/100*'Lån Översikt'!$C$11/100)-'Lån Översikt'!$C$8/100))/12, IF(AND('Lån Översikt'!$D$7="JA", 'Lån Översikt'!$D$11="JA", 'Lån Översikt'!$D$8="NEJ"), (G282*(('Lån Översikt'!$C$7/100*'Lån Översikt'!$C$11/100))/12), 0)))
</f>
        <v>5918</v>
      </c>
      <c r="I282" s="8">
        <f t="shared" si="2"/>
        <v>4712</v>
      </c>
      <c r="J282" s="8">
        <f>IF(AND(P282, O282), 0, IF(O282, INT((('Lån Översikt'!$C$5 * 1 / 100) / 12)), INT((('Lån Översikt'!$C$5 * 'Lån Översikt'!$C$15 / 100) / 12))))
</f>
        <v>3125</v>
      </c>
      <c r="K282" s="8">
        <f t="shared" si="3"/>
        <v>4166</v>
      </c>
      <c r="L282" s="8">
        <f t="shared" si="4"/>
        <v>17921</v>
      </c>
      <c r="M282" s="8">
        <f>(L282 + 'Lån Översikt'!$D$50)</f>
        <v>39870</v>
      </c>
      <c r="N282" s="8">
        <f>IF('Lån Översikt'!$D$22 = "JA", 
    IF(Q282 = TRUE, 'Lån Översikt'!$D$24 - M282, 'Lån Översikt'!$D$24 - M282 + 18300), 
    'Lån Översikt'!$D$24 - M282)
</f>
        <v>9930</v>
      </c>
      <c r="O282" s="25" t="b">
        <f t="shared" si="5"/>
        <v>1</v>
      </c>
      <c r="P282" s="26" t="b">
        <f t="shared" si="6"/>
        <v>0</v>
      </c>
      <c r="Q282" s="27" t="b">
        <f t="shared" si="8"/>
        <v>0</v>
      </c>
    </row>
    <row r="283">
      <c r="F283" s="8">
        <v>280.0</v>
      </c>
      <c r="G283" s="11">
        <f t="shared" si="1"/>
        <v>2312500</v>
      </c>
      <c r="H283" s="9">
        <f>INT(IF(AND('Lån Översikt'!$D$7="JA", 'Lån Översikt'!$D$11="JA", 'Lån Översikt'!$D$8="JA"), (G283*(('Lån Översikt'!$C$7/100*'Lån Översikt'!$C$11/100)-'Lån Översikt'!$C$8/100))/12, IF(AND('Lån Översikt'!$D$7="JA", 'Lån Översikt'!$D$11="JA", 'Lån Översikt'!$D$8="NEJ"), (G283*(('Lån Översikt'!$C$7/100*'Lån Översikt'!$C$11/100))/12), 0)))
</f>
        <v>5910</v>
      </c>
      <c r="I283" s="8">
        <f t="shared" si="2"/>
        <v>4712</v>
      </c>
      <c r="J283" s="8">
        <f>IF(AND(P283, O283), 0, IF(O283, INT((('Lån Översikt'!$C$5 * 1 / 100) / 12)), INT((('Lån Översikt'!$C$5 * 'Lån Översikt'!$C$15 / 100) / 12))))
</f>
        <v>3125</v>
      </c>
      <c r="K283" s="8">
        <f t="shared" si="3"/>
        <v>4166</v>
      </c>
      <c r="L283" s="8">
        <f t="shared" si="4"/>
        <v>17913</v>
      </c>
      <c r="M283" s="8">
        <f>(L283 + 'Lån Översikt'!$D$50)</f>
        <v>39862</v>
      </c>
      <c r="N283" s="8">
        <f>IF('Lån Översikt'!$D$22 = "JA", 
    IF(Q283 = TRUE, 'Lån Översikt'!$D$24 - M283, 'Lån Översikt'!$D$24 - M283 + 18300), 
    'Lån Översikt'!$D$24 - M283)
</f>
        <v>9938</v>
      </c>
      <c r="O283" s="25" t="b">
        <f t="shared" si="5"/>
        <v>1</v>
      </c>
      <c r="P283" s="26" t="b">
        <f t="shared" si="6"/>
        <v>0</v>
      </c>
      <c r="Q283" s="27" t="b">
        <f t="shared" si="8"/>
        <v>0</v>
      </c>
    </row>
    <row r="284">
      <c r="F284" s="8">
        <v>281.0</v>
      </c>
      <c r="G284" s="11">
        <f t="shared" si="1"/>
        <v>2309375</v>
      </c>
      <c r="H284" s="9">
        <f>INT(IF(AND('Lån Översikt'!$D$7="JA", 'Lån Översikt'!$D$11="JA", 'Lån Översikt'!$D$8="JA"), (G284*(('Lån Översikt'!$C$7/100*'Lån Översikt'!$C$11/100)-'Lån Översikt'!$C$8/100))/12, IF(AND('Lån Översikt'!$D$7="JA", 'Lån Översikt'!$D$11="JA", 'Lån Översikt'!$D$8="NEJ"), (G284*(('Lån Översikt'!$C$7/100*'Lån Översikt'!$C$11/100))/12), 0)))
</f>
        <v>5902</v>
      </c>
      <c r="I284" s="8">
        <f t="shared" si="2"/>
        <v>4712</v>
      </c>
      <c r="J284" s="8">
        <f>IF(AND(P284, O284), 0, IF(O284, INT((('Lån Översikt'!$C$5 * 1 / 100) / 12)), INT((('Lån Översikt'!$C$5 * 'Lån Översikt'!$C$15 / 100) / 12))))
</f>
        <v>3125</v>
      </c>
      <c r="K284" s="8">
        <f t="shared" si="3"/>
        <v>4166</v>
      </c>
      <c r="L284" s="8">
        <f t="shared" si="4"/>
        <v>17905</v>
      </c>
      <c r="M284" s="8">
        <f>(L284 + 'Lån Översikt'!$D$50)</f>
        <v>39854</v>
      </c>
      <c r="N284" s="8">
        <f>IF('Lån Översikt'!$D$22 = "JA", 
    IF(Q284 = TRUE, 'Lån Översikt'!$D$24 - M284, 'Lån Översikt'!$D$24 - M284 + 18300), 
    'Lån Översikt'!$D$24 - M284)
</f>
        <v>9946</v>
      </c>
      <c r="O284" s="25" t="b">
        <f t="shared" si="5"/>
        <v>1</v>
      </c>
      <c r="P284" s="26" t="b">
        <f t="shared" si="6"/>
        <v>0</v>
      </c>
      <c r="Q284" s="27" t="b">
        <f t="shared" si="8"/>
        <v>0</v>
      </c>
    </row>
    <row r="285">
      <c r="F285" s="8">
        <v>282.0</v>
      </c>
      <c r="G285" s="11">
        <f t="shared" si="1"/>
        <v>2306250</v>
      </c>
      <c r="H285" s="9">
        <f>INT(IF(AND('Lån Översikt'!$D$7="JA", 'Lån Översikt'!$D$11="JA", 'Lån Översikt'!$D$8="JA"), (G285*(('Lån Översikt'!$C$7/100*'Lån Översikt'!$C$11/100)-'Lån Översikt'!$C$8/100))/12, IF(AND('Lån Översikt'!$D$7="JA", 'Lån Översikt'!$D$11="JA", 'Lån Översikt'!$D$8="NEJ"), (G285*(('Lån Översikt'!$C$7/100*'Lån Översikt'!$C$11/100))/12), 0)))
</f>
        <v>5894</v>
      </c>
      <c r="I285" s="8">
        <f t="shared" si="2"/>
        <v>4712</v>
      </c>
      <c r="J285" s="8">
        <f>IF(AND(P285, O285), 0, IF(O285, INT((('Lån Översikt'!$C$5 * 1 / 100) / 12)), INT((('Lån Översikt'!$C$5 * 'Lån Översikt'!$C$15 / 100) / 12))))
</f>
        <v>3125</v>
      </c>
      <c r="K285" s="8">
        <f t="shared" si="3"/>
        <v>4166</v>
      </c>
      <c r="L285" s="8">
        <f t="shared" si="4"/>
        <v>17897</v>
      </c>
      <c r="M285" s="8">
        <f>(L285 + 'Lån Översikt'!$D$50)</f>
        <v>39846</v>
      </c>
      <c r="N285" s="8">
        <f>IF('Lån Översikt'!$D$22 = "JA", 
    IF(Q285 = TRUE, 'Lån Översikt'!$D$24 - M285, 'Lån Översikt'!$D$24 - M285 + 18300), 
    'Lån Översikt'!$D$24 - M285)
</f>
        <v>9954</v>
      </c>
      <c r="O285" s="25" t="b">
        <f t="shared" si="5"/>
        <v>1</v>
      </c>
      <c r="P285" s="26" t="b">
        <f t="shared" si="6"/>
        <v>0</v>
      </c>
      <c r="Q285" s="27" t="b">
        <f t="shared" si="8"/>
        <v>0</v>
      </c>
    </row>
    <row r="286">
      <c r="F286" s="8">
        <v>283.0</v>
      </c>
      <c r="G286" s="11">
        <f t="shared" si="1"/>
        <v>2303125</v>
      </c>
      <c r="H286" s="9">
        <f>INT(IF(AND('Lån Översikt'!$D$7="JA", 'Lån Översikt'!$D$11="JA", 'Lån Översikt'!$D$8="JA"), (G286*(('Lån Översikt'!$C$7/100*'Lån Översikt'!$C$11/100)-'Lån Översikt'!$C$8/100))/12, IF(AND('Lån Översikt'!$D$7="JA", 'Lån Översikt'!$D$11="JA", 'Lån Översikt'!$D$8="NEJ"), (G286*(('Lån Översikt'!$C$7/100*'Lån Översikt'!$C$11/100))/12), 0)))
</f>
        <v>5886</v>
      </c>
      <c r="I286" s="8">
        <f t="shared" si="2"/>
        <v>4712</v>
      </c>
      <c r="J286" s="8">
        <f>IF(AND(P286, O286), 0, IF(O286, INT((('Lån Översikt'!$C$5 * 1 / 100) / 12)), INT((('Lån Översikt'!$C$5 * 'Lån Översikt'!$C$15 / 100) / 12))))
</f>
        <v>3125</v>
      </c>
      <c r="K286" s="8">
        <f t="shared" si="3"/>
        <v>4166</v>
      </c>
      <c r="L286" s="8">
        <f t="shared" si="4"/>
        <v>17889</v>
      </c>
      <c r="M286" s="8">
        <f>(L286 + 'Lån Översikt'!$D$50)</f>
        <v>39838</v>
      </c>
      <c r="N286" s="8">
        <f>IF('Lån Översikt'!$D$22 = "JA", 
    IF(Q286 = TRUE, 'Lån Översikt'!$D$24 - M286, 'Lån Översikt'!$D$24 - M286 + 18300), 
    'Lån Översikt'!$D$24 - M286)
</f>
        <v>9962</v>
      </c>
      <c r="O286" s="25" t="b">
        <f t="shared" si="5"/>
        <v>1</v>
      </c>
      <c r="P286" s="26" t="b">
        <f t="shared" si="6"/>
        <v>0</v>
      </c>
      <c r="Q286" s="27" t="b">
        <f t="shared" si="8"/>
        <v>0</v>
      </c>
    </row>
    <row r="287">
      <c r="F287" s="8">
        <v>284.0</v>
      </c>
      <c r="G287" s="11">
        <f t="shared" si="1"/>
        <v>2300000</v>
      </c>
      <c r="H287" s="9">
        <f>INT(IF(AND('Lån Översikt'!$D$7="JA", 'Lån Översikt'!$D$11="JA", 'Lån Översikt'!$D$8="JA"), (G287*(('Lån Översikt'!$C$7/100*'Lån Översikt'!$C$11/100)-'Lån Översikt'!$C$8/100))/12, IF(AND('Lån Översikt'!$D$7="JA", 'Lån Översikt'!$D$11="JA", 'Lån Översikt'!$D$8="NEJ"), (G287*(('Lån Översikt'!$C$7/100*'Lån Översikt'!$C$11/100))/12), 0)))
</f>
        <v>5878</v>
      </c>
      <c r="I287" s="8">
        <f t="shared" si="2"/>
        <v>4712</v>
      </c>
      <c r="J287" s="8">
        <f>IF(AND(P287, O287), 0, IF(O287, INT((('Lån Översikt'!$C$5 * 1 / 100) / 12)), INT((('Lån Översikt'!$C$5 * 'Lån Översikt'!$C$15 / 100) / 12))))
</f>
        <v>3125</v>
      </c>
      <c r="K287" s="8">
        <f t="shared" si="3"/>
        <v>4166</v>
      </c>
      <c r="L287" s="8">
        <f t="shared" si="4"/>
        <v>17881</v>
      </c>
      <c r="M287" s="8">
        <f>(L287 + 'Lån Översikt'!$D$50)</f>
        <v>39830</v>
      </c>
      <c r="N287" s="8">
        <f>IF('Lån Översikt'!$D$22 = "JA", 
    IF(Q287 = TRUE, 'Lån Översikt'!$D$24 - M287, 'Lån Översikt'!$D$24 - M287 + 18300), 
    'Lån Översikt'!$D$24 - M287)
</f>
        <v>9970</v>
      </c>
      <c r="O287" s="25" t="b">
        <f t="shared" si="5"/>
        <v>1</v>
      </c>
      <c r="P287" s="26" t="b">
        <f t="shared" si="6"/>
        <v>0</v>
      </c>
      <c r="Q287" s="27" t="b">
        <f t="shared" si="8"/>
        <v>0</v>
      </c>
    </row>
    <row r="288">
      <c r="F288" s="8">
        <v>285.0</v>
      </c>
      <c r="G288" s="11">
        <f t="shared" si="1"/>
        <v>2296875</v>
      </c>
      <c r="H288" s="9">
        <f>INT(IF(AND('Lån Översikt'!$D$7="JA", 'Lån Översikt'!$D$11="JA", 'Lån Översikt'!$D$8="JA"), (G288*(('Lån Översikt'!$C$7/100*'Lån Översikt'!$C$11/100)-'Lån Översikt'!$C$8/100))/12, IF(AND('Lån Översikt'!$D$7="JA", 'Lån Översikt'!$D$11="JA", 'Lån Översikt'!$D$8="NEJ"), (G288*(('Lån Översikt'!$C$7/100*'Lån Översikt'!$C$11/100))/12), 0)))
</f>
        <v>5870</v>
      </c>
      <c r="I288" s="8">
        <f t="shared" si="2"/>
        <v>4712</v>
      </c>
      <c r="J288" s="8">
        <f>IF(AND(P288, O288), 0, IF(O288, INT((('Lån Översikt'!$C$5 * 1 / 100) / 12)), INT((('Lån Översikt'!$C$5 * 'Lån Översikt'!$C$15 / 100) / 12))))
</f>
        <v>3125</v>
      </c>
      <c r="K288" s="8">
        <f t="shared" si="3"/>
        <v>4166</v>
      </c>
      <c r="L288" s="8">
        <f t="shared" si="4"/>
        <v>17873</v>
      </c>
      <c r="M288" s="8">
        <f>(L288 + 'Lån Översikt'!$D$50)</f>
        <v>39822</v>
      </c>
      <c r="N288" s="8">
        <f>IF('Lån Översikt'!$D$22 = "JA", 
    IF(Q288 = TRUE, 'Lån Översikt'!$D$24 - M288, 'Lån Översikt'!$D$24 - M288 + 18300), 
    'Lån Översikt'!$D$24 - M288)
</f>
        <v>9978</v>
      </c>
      <c r="O288" s="25" t="b">
        <f t="shared" si="5"/>
        <v>1</v>
      </c>
      <c r="P288" s="26" t="b">
        <f t="shared" si="6"/>
        <v>0</v>
      </c>
      <c r="Q288" s="27" t="b">
        <f t="shared" si="8"/>
        <v>0</v>
      </c>
    </row>
    <row r="289">
      <c r="F289" s="8">
        <v>286.0</v>
      </c>
      <c r="G289" s="11">
        <f t="shared" si="1"/>
        <v>2293750</v>
      </c>
      <c r="H289" s="9">
        <f>INT(IF(AND('Lån Översikt'!$D$7="JA", 'Lån Översikt'!$D$11="JA", 'Lån Översikt'!$D$8="JA"), (G289*(('Lån Översikt'!$C$7/100*'Lån Översikt'!$C$11/100)-'Lån Översikt'!$C$8/100))/12, IF(AND('Lån Översikt'!$D$7="JA", 'Lån Översikt'!$D$11="JA", 'Lån Översikt'!$D$8="NEJ"), (G289*(('Lån Översikt'!$C$7/100*'Lån Översikt'!$C$11/100))/12), 0)))
</f>
        <v>5862</v>
      </c>
      <c r="I289" s="8">
        <f t="shared" si="2"/>
        <v>4712</v>
      </c>
      <c r="J289" s="8">
        <f>IF(AND(P289, O289), 0, IF(O289, INT((('Lån Översikt'!$C$5 * 1 / 100) / 12)), INT((('Lån Översikt'!$C$5 * 'Lån Översikt'!$C$15 / 100) / 12))))
</f>
        <v>3125</v>
      </c>
      <c r="K289" s="8">
        <f t="shared" si="3"/>
        <v>4166</v>
      </c>
      <c r="L289" s="8">
        <f t="shared" si="4"/>
        <v>17865</v>
      </c>
      <c r="M289" s="8">
        <f>(L289 + 'Lån Översikt'!$D$50)</f>
        <v>39814</v>
      </c>
      <c r="N289" s="8">
        <f>IF('Lån Översikt'!$D$22 = "JA", 
    IF(Q289 = TRUE, 'Lån Översikt'!$D$24 - M289, 'Lån Översikt'!$D$24 - M289 + 18300), 
    'Lån Översikt'!$D$24 - M289)
</f>
        <v>9986</v>
      </c>
      <c r="O289" s="25" t="b">
        <f t="shared" si="5"/>
        <v>1</v>
      </c>
      <c r="P289" s="26" t="b">
        <f t="shared" si="6"/>
        <v>0</v>
      </c>
      <c r="Q289" s="27" t="b">
        <f t="shared" si="8"/>
        <v>0</v>
      </c>
    </row>
    <row r="290">
      <c r="F290" s="8">
        <v>287.0</v>
      </c>
      <c r="G290" s="11">
        <f t="shared" si="1"/>
        <v>2290625</v>
      </c>
      <c r="H290" s="9">
        <f>INT(IF(AND('Lån Översikt'!$D$7="JA", 'Lån Översikt'!$D$11="JA", 'Lån Översikt'!$D$8="JA"), (G290*(('Lån Översikt'!$C$7/100*'Lån Översikt'!$C$11/100)-'Lån Översikt'!$C$8/100))/12, IF(AND('Lån Översikt'!$D$7="JA", 'Lån Översikt'!$D$11="JA", 'Lån Översikt'!$D$8="NEJ"), (G290*(('Lån Översikt'!$C$7/100*'Lån Översikt'!$C$11/100))/12), 0)))
</f>
        <v>5854</v>
      </c>
      <c r="I290" s="8">
        <f t="shared" si="2"/>
        <v>4712</v>
      </c>
      <c r="J290" s="8">
        <f>IF(AND(P290, O290), 0, IF(O290, INT((('Lån Översikt'!$C$5 * 1 / 100) / 12)), INT((('Lån Översikt'!$C$5 * 'Lån Översikt'!$C$15 / 100) / 12))))
</f>
        <v>3125</v>
      </c>
      <c r="K290" s="8">
        <f t="shared" si="3"/>
        <v>4166</v>
      </c>
      <c r="L290" s="8">
        <f t="shared" si="4"/>
        <v>17857</v>
      </c>
      <c r="M290" s="8">
        <f>(L290 + 'Lån Översikt'!$D$50)</f>
        <v>39806</v>
      </c>
      <c r="N290" s="8">
        <f>IF('Lån Översikt'!$D$22 = "JA", 
    IF(Q290 = TRUE, 'Lån Översikt'!$D$24 - M290, 'Lån Översikt'!$D$24 - M290 + 18300), 
    'Lån Översikt'!$D$24 - M290)
</f>
        <v>9994</v>
      </c>
      <c r="O290" s="25" t="b">
        <f t="shared" si="5"/>
        <v>1</v>
      </c>
      <c r="P290" s="26" t="b">
        <f t="shared" si="6"/>
        <v>0</v>
      </c>
      <c r="Q290" s="27" t="b">
        <f t="shared" si="8"/>
        <v>0</v>
      </c>
    </row>
    <row r="291">
      <c r="F291" s="8">
        <v>288.0</v>
      </c>
      <c r="G291" s="11">
        <f t="shared" si="1"/>
        <v>2287500</v>
      </c>
      <c r="H291" s="9">
        <f>INT(IF(AND('Lån Översikt'!$D$7="JA", 'Lån Översikt'!$D$11="JA", 'Lån Översikt'!$D$8="JA"), (G291*(('Lån Översikt'!$C$7/100*'Lån Översikt'!$C$11/100)-'Lån Översikt'!$C$8/100))/12, IF(AND('Lån Översikt'!$D$7="JA", 'Lån Översikt'!$D$11="JA", 'Lån Översikt'!$D$8="NEJ"), (G291*(('Lån Översikt'!$C$7/100*'Lån Översikt'!$C$11/100))/12), 0)))
</f>
        <v>5846</v>
      </c>
      <c r="I291" s="8">
        <f t="shared" si="2"/>
        <v>4712</v>
      </c>
      <c r="J291" s="8">
        <f>IF(AND(P291, O291), 0, IF(O291, INT((('Lån Översikt'!$C$5 * 1 / 100) / 12)), INT((('Lån Översikt'!$C$5 * 'Lån Översikt'!$C$15 / 100) / 12))))
</f>
        <v>3125</v>
      </c>
      <c r="K291" s="8">
        <f t="shared" si="3"/>
        <v>4166</v>
      </c>
      <c r="L291" s="8">
        <f t="shared" si="4"/>
        <v>17849</v>
      </c>
      <c r="M291" s="8">
        <f>(L291 + 'Lån Översikt'!$D$50)</f>
        <v>39798</v>
      </c>
      <c r="N291" s="8">
        <f>IF('Lån Översikt'!$D$22 = "JA", 
    IF(Q291 = TRUE, 'Lån Översikt'!$D$24 - M291, 'Lån Översikt'!$D$24 - M291 + 18300), 
    'Lån Översikt'!$D$24 - M291)
</f>
        <v>10002</v>
      </c>
      <c r="O291" s="25" t="b">
        <f t="shared" si="5"/>
        <v>1</v>
      </c>
      <c r="P291" s="26" t="b">
        <f t="shared" si="6"/>
        <v>0</v>
      </c>
      <c r="Q291" s="27" t="b">
        <f t="shared" si="8"/>
        <v>0</v>
      </c>
    </row>
    <row r="292">
      <c r="F292" s="8">
        <v>289.0</v>
      </c>
      <c r="G292" s="11">
        <f t="shared" si="1"/>
        <v>2284375</v>
      </c>
      <c r="H292" s="9">
        <f>INT(IF(AND('Lån Översikt'!$D$7="JA", 'Lån Översikt'!$D$11="JA", 'Lån Översikt'!$D$8="JA"), (G292*(('Lån Översikt'!$C$7/100*'Lån Översikt'!$C$11/100)-'Lån Översikt'!$C$8/100))/12, IF(AND('Lån Översikt'!$D$7="JA", 'Lån Översikt'!$D$11="JA", 'Lån Översikt'!$D$8="NEJ"), (G292*(('Lån Översikt'!$C$7/100*'Lån Översikt'!$C$11/100))/12), 0)))
</f>
        <v>5838</v>
      </c>
      <c r="I292" s="8">
        <f t="shared" si="2"/>
        <v>4712</v>
      </c>
      <c r="J292" s="8">
        <f>IF(AND(P292, O292), 0, IF(O292, INT((('Lån Översikt'!$C$5 * 1 / 100) / 12)), INT((('Lån Översikt'!$C$5 * 'Lån Översikt'!$C$15 / 100) / 12))))
</f>
        <v>3125</v>
      </c>
      <c r="K292" s="8">
        <f t="shared" si="3"/>
        <v>4166</v>
      </c>
      <c r="L292" s="8">
        <f t="shared" si="4"/>
        <v>17841</v>
      </c>
      <c r="M292" s="8">
        <f>(L292 + 'Lån Översikt'!$D$50)</f>
        <v>39790</v>
      </c>
      <c r="N292" s="8">
        <f>IF('Lån Översikt'!$D$22 = "JA", 
    IF(Q292 = TRUE, 'Lån Översikt'!$D$24 - M292, 'Lån Översikt'!$D$24 - M292 + 18300), 
    'Lån Översikt'!$D$24 - M292)
</f>
        <v>10010</v>
      </c>
      <c r="O292" s="25" t="b">
        <f t="shared" si="5"/>
        <v>1</v>
      </c>
      <c r="P292" s="26" t="b">
        <f t="shared" si="6"/>
        <v>0</v>
      </c>
      <c r="Q292" s="27" t="b">
        <f t="shared" si="8"/>
        <v>0</v>
      </c>
    </row>
    <row r="293">
      <c r="F293" s="8">
        <v>290.0</v>
      </c>
      <c r="G293" s="11">
        <f t="shared" si="1"/>
        <v>2281250</v>
      </c>
      <c r="H293" s="9">
        <f>INT(IF(AND('Lån Översikt'!$D$7="JA", 'Lån Översikt'!$D$11="JA", 'Lån Översikt'!$D$8="JA"), (G293*(('Lån Översikt'!$C$7/100*'Lån Översikt'!$C$11/100)-'Lån Översikt'!$C$8/100))/12, IF(AND('Lån Översikt'!$D$7="JA", 'Lån Översikt'!$D$11="JA", 'Lån Översikt'!$D$8="NEJ"), (G293*(('Lån Översikt'!$C$7/100*'Lån Översikt'!$C$11/100))/12), 0)))
</f>
        <v>5830</v>
      </c>
      <c r="I293" s="8">
        <f t="shared" si="2"/>
        <v>4712</v>
      </c>
      <c r="J293" s="8">
        <f>IF(AND(P293, O293), 0, IF(O293, INT((('Lån Översikt'!$C$5 * 1 / 100) / 12)), INT((('Lån Översikt'!$C$5 * 'Lån Översikt'!$C$15 / 100) / 12))))
</f>
        <v>3125</v>
      </c>
      <c r="K293" s="8">
        <f t="shared" si="3"/>
        <v>4166</v>
      </c>
      <c r="L293" s="8">
        <f t="shared" si="4"/>
        <v>17833</v>
      </c>
      <c r="M293" s="8">
        <f>(L293 + 'Lån Översikt'!$D$50)</f>
        <v>39782</v>
      </c>
      <c r="N293" s="8">
        <f>IF('Lån Översikt'!$D$22 = "JA", 
    IF(Q293 = TRUE, 'Lån Översikt'!$D$24 - M293, 'Lån Översikt'!$D$24 - M293 + 18300), 
    'Lån Översikt'!$D$24 - M293)
</f>
        <v>10018</v>
      </c>
      <c r="O293" s="25" t="b">
        <f t="shared" si="5"/>
        <v>1</v>
      </c>
      <c r="P293" s="26" t="b">
        <f t="shared" si="6"/>
        <v>0</v>
      </c>
      <c r="Q293" s="27" t="b">
        <f t="shared" si="8"/>
        <v>0</v>
      </c>
    </row>
    <row r="294">
      <c r="F294" s="8">
        <v>291.0</v>
      </c>
      <c r="G294" s="11">
        <f t="shared" si="1"/>
        <v>2278125</v>
      </c>
      <c r="H294" s="9">
        <f>INT(IF(AND('Lån Översikt'!$D$7="JA", 'Lån Översikt'!$D$11="JA", 'Lån Översikt'!$D$8="JA"), (G294*(('Lån Översikt'!$C$7/100*'Lån Översikt'!$C$11/100)-'Lån Översikt'!$C$8/100))/12, IF(AND('Lån Översikt'!$D$7="JA", 'Lån Översikt'!$D$11="JA", 'Lån Översikt'!$D$8="NEJ"), (G294*(('Lån Översikt'!$C$7/100*'Lån Översikt'!$C$11/100))/12), 0)))
</f>
        <v>5822</v>
      </c>
      <c r="I294" s="8">
        <f t="shared" si="2"/>
        <v>4712</v>
      </c>
      <c r="J294" s="8">
        <f>IF(AND(P294, O294), 0, IF(O294, INT((('Lån Översikt'!$C$5 * 1 / 100) / 12)), INT((('Lån Översikt'!$C$5 * 'Lån Översikt'!$C$15 / 100) / 12))))
</f>
        <v>3125</v>
      </c>
      <c r="K294" s="8">
        <f t="shared" si="3"/>
        <v>4166</v>
      </c>
      <c r="L294" s="8">
        <f t="shared" si="4"/>
        <v>17825</v>
      </c>
      <c r="M294" s="8">
        <f>(L294 + 'Lån Översikt'!$D$50)</f>
        <v>39774</v>
      </c>
      <c r="N294" s="8">
        <f>IF('Lån Översikt'!$D$22 = "JA", 
    IF(Q294 = TRUE, 'Lån Översikt'!$D$24 - M294, 'Lån Översikt'!$D$24 - M294 + 18300), 
    'Lån Översikt'!$D$24 - M294)
</f>
        <v>10026</v>
      </c>
      <c r="O294" s="25" t="b">
        <f t="shared" si="5"/>
        <v>1</v>
      </c>
      <c r="P294" s="26" t="b">
        <f t="shared" si="6"/>
        <v>0</v>
      </c>
      <c r="Q294" s="27" t="b">
        <f t="shared" si="8"/>
        <v>0</v>
      </c>
    </row>
    <row r="295">
      <c r="F295" s="8">
        <v>292.0</v>
      </c>
      <c r="G295" s="11">
        <f t="shared" si="1"/>
        <v>2275000</v>
      </c>
      <c r="H295" s="9">
        <f>INT(IF(AND('Lån Översikt'!$D$7="JA", 'Lån Översikt'!$D$11="JA", 'Lån Översikt'!$D$8="JA"), (G295*(('Lån Översikt'!$C$7/100*'Lån Översikt'!$C$11/100)-'Lån Översikt'!$C$8/100))/12, IF(AND('Lån Översikt'!$D$7="JA", 'Lån Översikt'!$D$11="JA", 'Lån Översikt'!$D$8="NEJ"), (G295*(('Lån Översikt'!$C$7/100*'Lån Översikt'!$C$11/100))/12), 0)))
</f>
        <v>5814</v>
      </c>
      <c r="I295" s="8">
        <f t="shared" si="2"/>
        <v>4712</v>
      </c>
      <c r="J295" s="8">
        <f>IF(AND(P295, O295), 0, IF(O295, INT((('Lån Översikt'!$C$5 * 1 / 100) / 12)), INT((('Lån Översikt'!$C$5 * 'Lån Översikt'!$C$15 / 100) / 12))))
</f>
        <v>3125</v>
      </c>
      <c r="K295" s="8">
        <f t="shared" si="3"/>
        <v>4166</v>
      </c>
      <c r="L295" s="8">
        <f t="shared" si="4"/>
        <v>17817</v>
      </c>
      <c r="M295" s="8">
        <f>(L295 + 'Lån Översikt'!$D$50)</f>
        <v>39766</v>
      </c>
      <c r="N295" s="8">
        <f>IF('Lån Översikt'!$D$22 = "JA", 
    IF(Q295 = TRUE, 'Lån Översikt'!$D$24 - M295, 'Lån Översikt'!$D$24 - M295 + 18300), 
    'Lån Översikt'!$D$24 - M295)
</f>
        <v>10034</v>
      </c>
      <c r="O295" s="25" t="b">
        <f t="shared" si="5"/>
        <v>1</v>
      </c>
      <c r="P295" s="26" t="b">
        <f t="shared" si="6"/>
        <v>0</v>
      </c>
      <c r="Q295" s="27" t="b">
        <f t="shared" si="8"/>
        <v>0</v>
      </c>
    </row>
    <row r="296">
      <c r="F296" s="8">
        <v>293.0</v>
      </c>
      <c r="G296" s="11">
        <f t="shared" si="1"/>
        <v>2271875</v>
      </c>
      <c r="H296" s="9">
        <f>INT(IF(AND('Lån Översikt'!$D$7="JA", 'Lån Översikt'!$D$11="JA", 'Lån Översikt'!$D$8="JA"), (G296*(('Lån Översikt'!$C$7/100*'Lån Översikt'!$C$11/100)-'Lån Översikt'!$C$8/100))/12, IF(AND('Lån Översikt'!$D$7="JA", 'Lån Översikt'!$D$11="JA", 'Lån Översikt'!$D$8="NEJ"), (G296*(('Lån Översikt'!$C$7/100*'Lån Översikt'!$C$11/100))/12), 0)))
</f>
        <v>5806</v>
      </c>
      <c r="I296" s="8">
        <f t="shared" si="2"/>
        <v>4712</v>
      </c>
      <c r="J296" s="8">
        <f>IF(AND(P296, O296), 0, IF(O296, INT((('Lån Översikt'!$C$5 * 1 / 100) / 12)), INT((('Lån Översikt'!$C$5 * 'Lån Översikt'!$C$15 / 100) / 12))))
</f>
        <v>3125</v>
      </c>
      <c r="K296" s="8">
        <f t="shared" si="3"/>
        <v>4166</v>
      </c>
      <c r="L296" s="8">
        <f t="shared" si="4"/>
        <v>17809</v>
      </c>
      <c r="M296" s="8">
        <f>(L296 + 'Lån Översikt'!$D$50)</f>
        <v>39758</v>
      </c>
      <c r="N296" s="8">
        <f>IF('Lån Översikt'!$D$22 = "JA", 
    IF(Q296 = TRUE, 'Lån Översikt'!$D$24 - M296, 'Lån Översikt'!$D$24 - M296 + 18300), 
    'Lån Översikt'!$D$24 - M296)
</f>
        <v>10042</v>
      </c>
      <c r="O296" s="25" t="b">
        <f t="shared" si="5"/>
        <v>1</v>
      </c>
      <c r="P296" s="26" t="b">
        <f t="shared" si="6"/>
        <v>0</v>
      </c>
      <c r="Q296" s="27" t="b">
        <f t="shared" si="8"/>
        <v>0</v>
      </c>
    </row>
    <row r="297">
      <c r="F297" s="8">
        <v>294.0</v>
      </c>
      <c r="G297" s="11">
        <f t="shared" si="1"/>
        <v>2268750</v>
      </c>
      <c r="H297" s="9">
        <f>INT(IF(AND('Lån Översikt'!$D$7="JA", 'Lån Översikt'!$D$11="JA", 'Lån Översikt'!$D$8="JA"), (G297*(('Lån Översikt'!$C$7/100*'Lån Översikt'!$C$11/100)-'Lån Översikt'!$C$8/100))/12, IF(AND('Lån Översikt'!$D$7="JA", 'Lån Översikt'!$D$11="JA", 'Lån Översikt'!$D$8="NEJ"), (G297*(('Lån Översikt'!$C$7/100*'Lån Översikt'!$C$11/100))/12), 0)))
</f>
        <v>5798</v>
      </c>
      <c r="I297" s="8">
        <f t="shared" si="2"/>
        <v>4712</v>
      </c>
      <c r="J297" s="8">
        <f>IF(AND(P297, O297), 0, IF(O297, INT((('Lån Översikt'!$C$5 * 1 / 100) / 12)), INT((('Lån Översikt'!$C$5 * 'Lån Översikt'!$C$15 / 100) / 12))))
</f>
        <v>3125</v>
      </c>
      <c r="K297" s="8">
        <f t="shared" si="3"/>
        <v>4166</v>
      </c>
      <c r="L297" s="8">
        <f t="shared" si="4"/>
        <v>17801</v>
      </c>
      <c r="M297" s="8">
        <f>(L297 + 'Lån Översikt'!$D$50)</f>
        <v>39750</v>
      </c>
      <c r="N297" s="8">
        <f>IF('Lån Översikt'!$D$22 = "JA", 
    IF(Q297 = TRUE, 'Lån Översikt'!$D$24 - M297, 'Lån Översikt'!$D$24 - M297 + 18300), 
    'Lån Översikt'!$D$24 - M297)
</f>
        <v>10050</v>
      </c>
      <c r="O297" s="25" t="b">
        <f t="shared" si="5"/>
        <v>1</v>
      </c>
      <c r="P297" s="26" t="b">
        <f t="shared" si="6"/>
        <v>0</v>
      </c>
      <c r="Q297" s="27" t="b">
        <f t="shared" si="8"/>
        <v>0</v>
      </c>
    </row>
    <row r="298">
      <c r="F298" s="8">
        <v>295.0</v>
      </c>
      <c r="G298" s="11">
        <f t="shared" si="1"/>
        <v>2265625</v>
      </c>
      <c r="H298" s="9">
        <f>INT(IF(AND('Lån Översikt'!$D$7="JA", 'Lån Översikt'!$D$11="JA", 'Lån Översikt'!$D$8="JA"), (G298*(('Lån Översikt'!$C$7/100*'Lån Översikt'!$C$11/100)-'Lån Översikt'!$C$8/100))/12, IF(AND('Lån Översikt'!$D$7="JA", 'Lån Översikt'!$D$11="JA", 'Lån Översikt'!$D$8="NEJ"), (G298*(('Lån Översikt'!$C$7/100*'Lån Översikt'!$C$11/100))/12), 0)))
</f>
        <v>5790</v>
      </c>
      <c r="I298" s="8">
        <f t="shared" si="2"/>
        <v>4712</v>
      </c>
      <c r="J298" s="8">
        <f>IF(AND(P298, O298), 0, IF(O298, INT((('Lån Översikt'!$C$5 * 1 / 100) / 12)), INT((('Lån Översikt'!$C$5 * 'Lån Översikt'!$C$15 / 100) / 12))))
</f>
        <v>3125</v>
      </c>
      <c r="K298" s="8">
        <f t="shared" si="3"/>
        <v>4166</v>
      </c>
      <c r="L298" s="8">
        <f t="shared" si="4"/>
        <v>17793</v>
      </c>
      <c r="M298" s="8">
        <f>(L298 + 'Lån Översikt'!$D$50)</f>
        <v>39742</v>
      </c>
      <c r="N298" s="8">
        <f>IF('Lån Översikt'!$D$22 = "JA", 
    IF(Q298 = TRUE, 'Lån Översikt'!$D$24 - M298, 'Lån Översikt'!$D$24 - M298 + 18300), 
    'Lån Översikt'!$D$24 - M298)
</f>
        <v>10058</v>
      </c>
      <c r="O298" s="25" t="b">
        <f t="shared" si="5"/>
        <v>1</v>
      </c>
      <c r="P298" s="26" t="b">
        <f t="shared" si="6"/>
        <v>0</v>
      </c>
      <c r="Q298" s="27" t="b">
        <f t="shared" si="8"/>
        <v>0</v>
      </c>
    </row>
    <row r="299">
      <c r="F299" s="8">
        <v>296.0</v>
      </c>
      <c r="G299" s="11">
        <f t="shared" si="1"/>
        <v>2262500</v>
      </c>
      <c r="H299" s="9">
        <f>INT(IF(AND('Lån Översikt'!$D$7="JA", 'Lån Översikt'!$D$11="JA", 'Lån Översikt'!$D$8="JA"), (G299*(('Lån Översikt'!$C$7/100*'Lån Översikt'!$C$11/100)-'Lån Översikt'!$C$8/100))/12, IF(AND('Lån Översikt'!$D$7="JA", 'Lån Översikt'!$D$11="JA", 'Lån Översikt'!$D$8="NEJ"), (G299*(('Lån Översikt'!$C$7/100*'Lån Översikt'!$C$11/100))/12), 0)))
</f>
        <v>5782</v>
      </c>
      <c r="I299" s="8">
        <f t="shared" si="2"/>
        <v>4712</v>
      </c>
      <c r="J299" s="8">
        <f>IF(AND(P299, O299), 0, IF(O299, INT((('Lån Översikt'!$C$5 * 1 / 100) / 12)), INT((('Lån Översikt'!$C$5 * 'Lån Översikt'!$C$15 / 100) / 12))))
</f>
        <v>3125</v>
      </c>
      <c r="K299" s="8">
        <f t="shared" si="3"/>
        <v>4166</v>
      </c>
      <c r="L299" s="8">
        <f t="shared" si="4"/>
        <v>17785</v>
      </c>
      <c r="M299" s="8">
        <f>(L299 + 'Lån Översikt'!$D$50)</f>
        <v>39734</v>
      </c>
      <c r="N299" s="8">
        <f>IF('Lån Översikt'!$D$22 = "JA", 
    IF(Q299 = TRUE, 'Lån Översikt'!$D$24 - M299, 'Lån Översikt'!$D$24 - M299 + 18300), 
    'Lån Översikt'!$D$24 - M299)
</f>
        <v>10066</v>
      </c>
      <c r="O299" s="25" t="b">
        <f t="shared" si="5"/>
        <v>1</v>
      </c>
      <c r="P299" s="26" t="b">
        <f t="shared" si="6"/>
        <v>0</v>
      </c>
      <c r="Q299" s="27" t="b">
        <f t="shared" si="8"/>
        <v>0</v>
      </c>
    </row>
    <row r="300">
      <c r="F300" s="8">
        <v>297.0</v>
      </c>
      <c r="G300" s="11">
        <f t="shared" si="1"/>
        <v>2259375</v>
      </c>
      <c r="H300" s="9">
        <f>INT(IF(AND('Lån Översikt'!$D$7="JA", 'Lån Översikt'!$D$11="JA", 'Lån Översikt'!$D$8="JA"), (G300*(('Lån Översikt'!$C$7/100*'Lån Översikt'!$C$11/100)-'Lån Översikt'!$C$8/100))/12, IF(AND('Lån Översikt'!$D$7="JA", 'Lån Översikt'!$D$11="JA", 'Lån Översikt'!$D$8="NEJ"), (G300*(('Lån Översikt'!$C$7/100*'Lån Översikt'!$C$11/100))/12), 0)))
</f>
        <v>5774</v>
      </c>
      <c r="I300" s="8">
        <f t="shared" si="2"/>
        <v>4712</v>
      </c>
      <c r="J300" s="8">
        <f>IF(AND(P300, O300), 0, IF(O300, INT((('Lån Översikt'!$C$5 * 1 / 100) / 12)), INT((('Lån Översikt'!$C$5 * 'Lån Översikt'!$C$15 / 100) / 12))))
</f>
        <v>3125</v>
      </c>
      <c r="K300" s="8">
        <f t="shared" si="3"/>
        <v>4166</v>
      </c>
      <c r="L300" s="8">
        <f t="shared" si="4"/>
        <v>17777</v>
      </c>
      <c r="M300" s="8">
        <f>(L300 + 'Lån Översikt'!$D$50)</f>
        <v>39726</v>
      </c>
      <c r="N300" s="8">
        <f>IF('Lån Översikt'!$D$22 = "JA", 
    IF(Q300 = TRUE, 'Lån Översikt'!$D$24 - M300, 'Lån Översikt'!$D$24 - M300 + 18300), 
    'Lån Översikt'!$D$24 - M300)
</f>
        <v>10074</v>
      </c>
      <c r="O300" s="25" t="b">
        <f t="shared" si="5"/>
        <v>1</v>
      </c>
      <c r="P300" s="26" t="b">
        <f t="shared" si="6"/>
        <v>0</v>
      </c>
      <c r="Q300" s="27" t="b">
        <f t="shared" si="8"/>
        <v>0</v>
      </c>
    </row>
    <row r="301">
      <c r="F301" s="8">
        <v>298.0</v>
      </c>
      <c r="G301" s="11">
        <f t="shared" si="1"/>
        <v>2256250</v>
      </c>
      <c r="H301" s="9">
        <f>INT(IF(AND('Lån Översikt'!$D$7="JA", 'Lån Översikt'!$D$11="JA", 'Lån Översikt'!$D$8="JA"), (G301*(('Lån Översikt'!$C$7/100*'Lån Översikt'!$C$11/100)-'Lån Översikt'!$C$8/100))/12, IF(AND('Lån Översikt'!$D$7="JA", 'Lån Översikt'!$D$11="JA", 'Lån Översikt'!$D$8="NEJ"), (G301*(('Lån Översikt'!$C$7/100*'Lån Översikt'!$C$11/100))/12), 0)))
</f>
        <v>5766</v>
      </c>
      <c r="I301" s="8">
        <f t="shared" si="2"/>
        <v>4712</v>
      </c>
      <c r="J301" s="8">
        <f>IF(AND(P301, O301), 0, IF(O301, INT((('Lån Översikt'!$C$5 * 1 / 100) / 12)), INT((('Lån Översikt'!$C$5 * 'Lån Översikt'!$C$15 / 100) / 12))))
</f>
        <v>3125</v>
      </c>
      <c r="K301" s="8">
        <f t="shared" si="3"/>
        <v>4166</v>
      </c>
      <c r="L301" s="8">
        <f t="shared" si="4"/>
        <v>17769</v>
      </c>
      <c r="M301" s="8">
        <f>(L301 + 'Lån Översikt'!$D$50)</f>
        <v>39718</v>
      </c>
      <c r="N301" s="8">
        <f>IF('Lån Översikt'!$D$22 = "JA", 
    IF(Q301 = TRUE, 'Lån Översikt'!$D$24 - M301, 'Lån Översikt'!$D$24 - M301 + 18300), 
    'Lån Översikt'!$D$24 - M301)
</f>
        <v>10082</v>
      </c>
      <c r="O301" s="25" t="b">
        <f t="shared" si="5"/>
        <v>1</v>
      </c>
      <c r="P301" s="26" t="b">
        <f t="shared" si="6"/>
        <v>0</v>
      </c>
      <c r="Q301" s="27" t="b">
        <f t="shared" si="8"/>
        <v>0</v>
      </c>
    </row>
    <row r="302">
      <c r="F302" s="8">
        <v>299.0</v>
      </c>
      <c r="G302" s="11">
        <f t="shared" si="1"/>
        <v>2253125</v>
      </c>
      <c r="H302" s="9">
        <f>INT(IF(AND('Lån Översikt'!$D$7="JA", 'Lån Översikt'!$D$11="JA", 'Lån Översikt'!$D$8="JA"), (G302*(('Lån Översikt'!$C$7/100*'Lån Översikt'!$C$11/100)-'Lån Översikt'!$C$8/100))/12, IF(AND('Lån Översikt'!$D$7="JA", 'Lån Översikt'!$D$11="JA", 'Lån Översikt'!$D$8="NEJ"), (G302*(('Lån Översikt'!$C$7/100*'Lån Översikt'!$C$11/100))/12), 0)))
</f>
        <v>5758</v>
      </c>
      <c r="I302" s="8">
        <f t="shared" si="2"/>
        <v>4712</v>
      </c>
      <c r="J302" s="8">
        <f>IF(AND(P302, O302), 0, IF(O302, INT((('Lån Översikt'!$C$5 * 1 / 100) / 12)), INT((('Lån Översikt'!$C$5 * 'Lån Översikt'!$C$15 / 100) / 12))))
</f>
        <v>3125</v>
      </c>
      <c r="K302" s="8">
        <f t="shared" si="3"/>
        <v>4166</v>
      </c>
      <c r="L302" s="8">
        <f t="shared" si="4"/>
        <v>17761</v>
      </c>
      <c r="M302" s="8">
        <f>(L302 + 'Lån Översikt'!$D$50)</f>
        <v>39710</v>
      </c>
      <c r="N302" s="8">
        <f>IF('Lån Översikt'!$D$22 = "JA", 
    IF(Q302 = TRUE, 'Lån Översikt'!$D$24 - M302, 'Lån Översikt'!$D$24 - M302 + 18300), 
    'Lån Översikt'!$D$24 - M302)
</f>
        <v>10090</v>
      </c>
      <c r="O302" s="25" t="b">
        <f t="shared" si="5"/>
        <v>1</v>
      </c>
      <c r="P302" s="26" t="b">
        <f t="shared" si="6"/>
        <v>0</v>
      </c>
      <c r="Q302" s="27" t="b">
        <f t="shared" si="8"/>
        <v>0</v>
      </c>
    </row>
    <row r="303">
      <c r="F303" s="8">
        <v>300.0</v>
      </c>
      <c r="G303" s="11">
        <f t="shared" si="1"/>
        <v>2250000</v>
      </c>
      <c r="H303" s="9">
        <f>INT(IF(AND('Lån Översikt'!$D$7="JA", 'Lån Översikt'!$D$11="JA", 'Lån Översikt'!$D$8="JA"), (G303*(('Lån Översikt'!$C$7/100*'Lån Översikt'!$C$11/100)-'Lån Översikt'!$C$8/100))/12, IF(AND('Lån Översikt'!$D$7="JA", 'Lån Översikt'!$D$11="JA", 'Lån Översikt'!$D$8="NEJ"), (G303*(('Lån Översikt'!$C$7/100*'Lån Översikt'!$C$11/100))/12), 0)))
</f>
        <v>5750</v>
      </c>
      <c r="I303" s="8">
        <f t="shared" si="2"/>
        <v>4712</v>
      </c>
      <c r="J303" s="8">
        <f>IF(AND(P303, O303), 0, IF(O303, INT((('Lån Översikt'!$C$5 * 1 / 100) / 12)), INT((('Lån Översikt'!$C$5 * 'Lån Översikt'!$C$15 / 100) / 12))))
</f>
        <v>3125</v>
      </c>
      <c r="K303" s="8">
        <f t="shared" si="3"/>
        <v>4166</v>
      </c>
      <c r="L303" s="8">
        <f t="shared" si="4"/>
        <v>17753</v>
      </c>
      <c r="M303" s="8">
        <f>(L303 + 'Lån Översikt'!$D$50)</f>
        <v>39702</v>
      </c>
      <c r="N303" s="8">
        <f>IF('Lån Översikt'!$D$22 = "JA", 
    IF(Q303 = TRUE, 'Lån Översikt'!$D$24 - M303, 'Lån Översikt'!$D$24 - M303 + 18300), 
    'Lån Översikt'!$D$24 - M303)
</f>
        <v>10098</v>
      </c>
      <c r="O303" s="25" t="b">
        <f t="shared" si="5"/>
        <v>1</v>
      </c>
      <c r="P303" s="26" t="b">
        <f t="shared" si="6"/>
        <v>0</v>
      </c>
      <c r="Q303" s="27" t="b">
        <f t="shared" si="8"/>
        <v>0</v>
      </c>
    </row>
    <row r="304">
      <c r="F304" s="8">
        <v>301.0</v>
      </c>
      <c r="G304" s="11">
        <f t="shared" si="1"/>
        <v>2246875</v>
      </c>
      <c r="H304" s="9">
        <f>INT(IF(AND('Lån Översikt'!$D$7="JA", 'Lån Översikt'!$D$11="JA", 'Lån Översikt'!$D$8="JA"), (G304*(('Lån Översikt'!$C$7/100*'Lån Översikt'!$C$11/100)-'Lån Översikt'!$C$8/100))/12, IF(AND('Lån Översikt'!$D$7="JA", 'Lån Översikt'!$D$11="JA", 'Lån Översikt'!$D$8="NEJ"), (G304*(('Lån Översikt'!$C$7/100*'Lån Översikt'!$C$11/100))/12), 0)))
</f>
        <v>5742</v>
      </c>
      <c r="I304" s="8">
        <f t="shared" si="2"/>
        <v>4712</v>
      </c>
      <c r="J304" s="8">
        <f>IF(AND(P304, O304), 0, IF(O304, INT((('Lån Översikt'!$C$5 * 1 / 100) / 12)), INT((('Lån Översikt'!$C$5 * 'Lån Översikt'!$C$15 / 100) / 12))))
</f>
        <v>3125</v>
      </c>
      <c r="K304" s="8">
        <f t="shared" si="3"/>
        <v>4166</v>
      </c>
      <c r="L304" s="8">
        <f t="shared" si="4"/>
        <v>17745</v>
      </c>
      <c r="M304" s="8">
        <f>(L304 + 'Lån Översikt'!$D$50)</f>
        <v>39694</v>
      </c>
      <c r="N304" s="8">
        <f>IF('Lån Översikt'!$D$22 = "JA", 
    IF(Q304 = TRUE, 'Lån Översikt'!$D$24 - M304, 'Lån Översikt'!$D$24 - M304 + 18300), 
    'Lån Översikt'!$D$24 - M304)
</f>
        <v>10106</v>
      </c>
      <c r="O304" s="25" t="b">
        <f t="shared" si="5"/>
        <v>1</v>
      </c>
      <c r="P304" s="26" t="b">
        <f t="shared" si="6"/>
        <v>0</v>
      </c>
      <c r="Q304" s="27" t="b">
        <f t="shared" si="8"/>
        <v>0</v>
      </c>
    </row>
    <row r="305">
      <c r="F305" s="8">
        <v>302.0</v>
      </c>
      <c r="G305" s="11">
        <f t="shared" si="1"/>
        <v>2243750</v>
      </c>
      <c r="H305" s="9">
        <f>INT(IF(AND('Lån Översikt'!$D$7="JA", 'Lån Översikt'!$D$11="JA", 'Lån Översikt'!$D$8="JA"), (G305*(('Lån Översikt'!$C$7/100*'Lån Översikt'!$C$11/100)-'Lån Översikt'!$C$8/100))/12, IF(AND('Lån Översikt'!$D$7="JA", 'Lån Översikt'!$D$11="JA", 'Lån Översikt'!$D$8="NEJ"), (G305*(('Lån Översikt'!$C$7/100*'Lån Översikt'!$C$11/100))/12), 0)))
</f>
        <v>5734</v>
      </c>
      <c r="I305" s="8">
        <f t="shared" si="2"/>
        <v>4712</v>
      </c>
      <c r="J305" s="8">
        <f>IF(AND(P305, O305), 0, IF(O305, INT((('Lån Översikt'!$C$5 * 1 / 100) / 12)), INT((('Lån Översikt'!$C$5 * 'Lån Översikt'!$C$15 / 100) / 12))))
</f>
        <v>3125</v>
      </c>
      <c r="K305" s="8">
        <f t="shared" si="3"/>
        <v>4166</v>
      </c>
      <c r="L305" s="8">
        <f t="shared" si="4"/>
        <v>17737</v>
      </c>
      <c r="M305" s="8">
        <f>(L305 + 'Lån Översikt'!$D$50)</f>
        <v>39686</v>
      </c>
      <c r="N305" s="8">
        <f>IF('Lån Översikt'!$D$22 = "JA", 
    IF(Q305 = TRUE, 'Lån Översikt'!$D$24 - M305, 'Lån Översikt'!$D$24 - M305 + 18300), 
    'Lån Översikt'!$D$24 - M305)
</f>
        <v>10114</v>
      </c>
      <c r="O305" s="25" t="b">
        <f t="shared" si="5"/>
        <v>1</v>
      </c>
      <c r="P305" s="26" t="b">
        <f t="shared" si="6"/>
        <v>0</v>
      </c>
      <c r="Q305" s="27" t="b">
        <f t="shared" si="8"/>
        <v>0</v>
      </c>
    </row>
    <row r="306">
      <c r="F306" s="8">
        <v>303.0</v>
      </c>
      <c r="G306" s="11">
        <f t="shared" si="1"/>
        <v>2240625</v>
      </c>
      <c r="H306" s="9">
        <f>INT(IF(AND('Lån Översikt'!$D$7="JA", 'Lån Översikt'!$D$11="JA", 'Lån Översikt'!$D$8="JA"), (G306*(('Lån Översikt'!$C$7/100*'Lån Översikt'!$C$11/100)-'Lån Översikt'!$C$8/100))/12, IF(AND('Lån Översikt'!$D$7="JA", 'Lån Översikt'!$D$11="JA", 'Lån Översikt'!$D$8="NEJ"), (G306*(('Lån Översikt'!$C$7/100*'Lån Översikt'!$C$11/100))/12), 0)))
</f>
        <v>5726</v>
      </c>
      <c r="I306" s="8">
        <f t="shared" si="2"/>
        <v>4712</v>
      </c>
      <c r="J306" s="8">
        <f>IF(AND(P306, O306), 0, IF(O306, INT((('Lån Översikt'!$C$5 * 1 / 100) / 12)), INT((('Lån Översikt'!$C$5 * 'Lån Översikt'!$C$15 / 100) / 12))))
</f>
        <v>3125</v>
      </c>
      <c r="K306" s="8">
        <f t="shared" si="3"/>
        <v>4166</v>
      </c>
      <c r="L306" s="8">
        <f t="shared" si="4"/>
        <v>17729</v>
      </c>
      <c r="M306" s="8">
        <f>(L306 + 'Lån Översikt'!$D$50)</f>
        <v>39678</v>
      </c>
      <c r="N306" s="8">
        <f>IF('Lån Översikt'!$D$22 = "JA", 
    IF(Q306 = TRUE, 'Lån Översikt'!$D$24 - M306, 'Lån Översikt'!$D$24 - M306 + 18300), 
    'Lån Översikt'!$D$24 - M306)
</f>
        <v>10122</v>
      </c>
      <c r="O306" s="25" t="b">
        <f t="shared" si="5"/>
        <v>1</v>
      </c>
      <c r="P306" s="26" t="b">
        <f t="shared" si="6"/>
        <v>0</v>
      </c>
      <c r="Q306" s="27" t="b">
        <f t="shared" si="8"/>
        <v>0</v>
      </c>
    </row>
    <row r="307">
      <c r="F307" s="8">
        <v>304.0</v>
      </c>
      <c r="G307" s="11">
        <f t="shared" si="1"/>
        <v>2237500</v>
      </c>
      <c r="H307" s="9">
        <f>INT(IF(AND('Lån Översikt'!$D$7="JA", 'Lån Översikt'!$D$11="JA", 'Lån Översikt'!$D$8="JA"), (G307*(('Lån Översikt'!$C$7/100*'Lån Översikt'!$C$11/100)-'Lån Översikt'!$C$8/100))/12, IF(AND('Lån Översikt'!$D$7="JA", 'Lån Översikt'!$D$11="JA", 'Lån Översikt'!$D$8="NEJ"), (G307*(('Lån Översikt'!$C$7/100*'Lån Översikt'!$C$11/100))/12), 0)))
</f>
        <v>5718</v>
      </c>
      <c r="I307" s="8">
        <f t="shared" si="2"/>
        <v>4712</v>
      </c>
      <c r="J307" s="8">
        <f>IF(AND(P307, O307), 0, IF(O307, INT((('Lån Översikt'!$C$5 * 1 / 100) / 12)), INT((('Lån Översikt'!$C$5 * 'Lån Översikt'!$C$15 / 100) / 12))))
</f>
        <v>3125</v>
      </c>
      <c r="K307" s="8">
        <f t="shared" si="3"/>
        <v>4166</v>
      </c>
      <c r="L307" s="8">
        <f t="shared" si="4"/>
        <v>17721</v>
      </c>
      <c r="M307" s="8">
        <f>(L307 + 'Lån Översikt'!$D$50)</f>
        <v>39670</v>
      </c>
      <c r="N307" s="8">
        <f>IF('Lån Översikt'!$D$22 = "JA", 
    IF(Q307 = TRUE, 'Lån Översikt'!$D$24 - M307, 'Lån Översikt'!$D$24 - M307 + 18300), 
    'Lån Översikt'!$D$24 - M307)
</f>
        <v>10130</v>
      </c>
      <c r="O307" s="25" t="b">
        <f t="shared" si="5"/>
        <v>1</v>
      </c>
      <c r="P307" s="26" t="b">
        <f t="shared" si="6"/>
        <v>0</v>
      </c>
      <c r="Q307" s="27" t="b">
        <f t="shared" si="8"/>
        <v>0</v>
      </c>
    </row>
    <row r="308">
      <c r="F308" s="8">
        <v>305.0</v>
      </c>
      <c r="G308" s="11">
        <f t="shared" si="1"/>
        <v>2234375</v>
      </c>
      <c r="H308" s="9">
        <f>INT(IF(AND('Lån Översikt'!$D$7="JA", 'Lån Översikt'!$D$11="JA", 'Lån Översikt'!$D$8="JA"), (G308*(('Lån Översikt'!$C$7/100*'Lån Översikt'!$C$11/100)-'Lån Översikt'!$C$8/100))/12, IF(AND('Lån Översikt'!$D$7="JA", 'Lån Översikt'!$D$11="JA", 'Lån Översikt'!$D$8="NEJ"), (G308*(('Lån Översikt'!$C$7/100*'Lån Översikt'!$C$11/100))/12), 0)))
</f>
        <v>5710</v>
      </c>
      <c r="I308" s="8">
        <f t="shared" si="2"/>
        <v>4712</v>
      </c>
      <c r="J308" s="8">
        <f>IF(AND(P308, O308), 0, IF(O308, INT((('Lån Översikt'!$C$5 * 1 / 100) / 12)), INT((('Lån Översikt'!$C$5 * 'Lån Översikt'!$C$15 / 100) / 12))))
</f>
        <v>3125</v>
      </c>
      <c r="K308" s="8">
        <f t="shared" si="3"/>
        <v>4166</v>
      </c>
      <c r="L308" s="8">
        <f t="shared" si="4"/>
        <v>17713</v>
      </c>
      <c r="M308" s="8">
        <f>(L308 + 'Lån Översikt'!$D$50)</f>
        <v>39662</v>
      </c>
      <c r="N308" s="8">
        <f>IF('Lån Översikt'!$D$22 = "JA", 
    IF(Q308 = TRUE, 'Lån Översikt'!$D$24 - M308, 'Lån Översikt'!$D$24 - M308 + 18300), 
    'Lån Översikt'!$D$24 - M308)
</f>
        <v>10138</v>
      </c>
      <c r="O308" s="25" t="b">
        <f t="shared" si="5"/>
        <v>1</v>
      </c>
      <c r="P308" s="26" t="b">
        <f t="shared" si="6"/>
        <v>0</v>
      </c>
      <c r="Q308" s="27" t="b">
        <f t="shared" si="8"/>
        <v>0</v>
      </c>
    </row>
    <row r="309">
      <c r="F309" s="8">
        <v>306.0</v>
      </c>
      <c r="G309" s="11">
        <f t="shared" si="1"/>
        <v>2231250</v>
      </c>
      <c r="H309" s="9">
        <f>INT(IF(AND('Lån Översikt'!$D$7="JA", 'Lån Översikt'!$D$11="JA", 'Lån Översikt'!$D$8="JA"), (G309*(('Lån Översikt'!$C$7/100*'Lån Översikt'!$C$11/100)-'Lån Översikt'!$C$8/100))/12, IF(AND('Lån Översikt'!$D$7="JA", 'Lån Översikt'!$D$11="JA", 'Lån Översikt'!$D$8="NEJ"), (G309*(('Lån Översikt'!$C$7/100*'Lån Översikt'!$C$11/100))/12), 0)))
</f>
        <v>5702</v>
      </c>
      <c r="I309" s="8">
        <f t="shared" si="2"/>
        <v>4712</v>
      </c>
      <c r="J309" s="8">
        <f>IF(AND(P309, O309), 0, IF(O309, INT((('Lån Översikt'!$C$5 * 1 / 100) / 12)), INT((('Lån Översikt'!$C$5 * 'Lån Översikt'!$C$15 / 100) / 12))))
</f>
        <v>3125</v>
      </c>
      <c r="K309" s="8">
        <f t="shared" si="3"/>
        <v>4166</v>
      </c>
      <c r="L309" s="8">
        <f t="shared" si="4"/>
        <v>17705</v>
      </c>
      <c r="M309" s="8">
        <f>(L309 + 'Lån Översikt'!$D$50)</f>
        <v>39654</v>
      </c>
      <c r="N309" s="8">
        <f>IF('Lån Översikt'!$D$22 = "JA", 
    IF(Q309 = TRUE, 'Lån Översikt'!$D$24 - M309, 'Lån Översikt'!$D$24 - M309 + 18300), 
    'Lån Översikt'!$D$24 - M309)
</f>
        <v>10146</v>
      </c>
      <c r="O309" s="25" t="b">
        <f t="shared" si="5"/>
        <v>1</v>
      </c>
      <c r="P309" s="26" t="b">
        <f t="shared" si="6"/>
        <v>0</v>
      </c>
      <c r="Q309" s="27" t="b">
        <f t="shared" si="8"/>
        <v>0</v>
      </c>
    </row>
    <row r="310">
      <c r="F310" s="8">
        <v>307.0</v>
      </c>
      <c r="G310" s="11">
        <f t="shared" si="1"/>
        <v>2228125</v>
      </c>
      <c r="H310" s="9">
        <f>INT(IF(AND('Lån Översikt'!$D$7="JA", 'Lån Översikt'!$D$11="JA", 'Lån Översikt'!$D$8="JA"), (G310*(('Lån Översikt'!$C$7/100*'Lån Översikt'!$C$11/100)-'Lån Översikt'!$C$8/100))/12, IF(AND('Lån Översikt'!$D$7="JA", 'Lån Översikt'!$D$11="JA", 'Lån Översikt'!$D$8="NEJ"), (G310*(('Lån Översikt'!$C$7/100*'Lån Översikt'!$C$11/100))/12), 0)))
</f>
        <v>5694</v>
      </c>
      <c r="I310" s="8">
        <f t="shared" si="2"/>
        <v>4712</v>
      </c>
      <c r="J310" s="8">
        <f>IF(AND(P310, O310), 0, IF(O310, INT((('Lån Översikt'!$C$5 * 1 / 100) / 12)), INT((('Lån Översikt'!$C$5 * 'Lån Översikt'!$C$15 / 100) / 12))))
</f>
        <v>3125</v>
      </c>
      <c r="K310" s="8">
        <f t="shared" si="3"/>
        <v>4166</v>
      </c>
      <c r="L310" s="8">
        <f t="shared" si="4"/>
        <v>17697</v>
      </c>
      <c r="M310" s="8">
        <f>(L310 + 'Lån Översikt'!$D$50)</f>
        <v>39646</v>
      </c>
      <c r="N310" s="8">
        <f>IF('Lån Översikt'!$D$22 = "JA", 
    IF(Q310 = TRUE, 'Lån Översikt'!$D$24 - M310, 'Lån Översikt'!$D$24 - M310 + 18300), 
    'Lån Översikt'!$D$24 - M310)
</f>
        <v>10154</v>
      </c>
      <c r="O310" s="25" t="b">
        <f t="shared" si="5"/>
        <v>1</v>
      </c>
      <c r="P310" s="26" t="b">
        <f t="shared" si="6"/>
        <v>0</v>
      </c>
      <c r="Q310" s="27" t="b">
        <f t="shared" si="8"/>
        <v>0</v>
      </c>
    </row>
    <row r="311">
      <c r="F311" s="8">
        <v>308.0</v>
      </c>
      <c r="G311" s="11">
        <f t="shared" si="1"/>
        <v>2225000</v>
      </c>
      <c r="H311" s="9">
        <f>INT(IF(AND('Lån Översikt'!$D$7="JA", 'Lån Översikt'!$D$11="JA", 'Lån Översikt'!$D$8="JA"), (G311*(('Lån Översikt'!$C$7/100*'Lån Översikt'!$C$11/100)-'Lån Översikt'!$C$8/100))/12, IF(AND('Lån Översikt'!$D$7="JA", 'Lån Översikt'!$D$11="JA", 'Lån Översikt'!$D$8="NEJ"), (G311*(('Lån Översikt'!$C$7/100*'Lån Översikt'!$C$11/100))/12), 0)))
</f>
        <v>5686</v>
      </c>
      <c r="I311" s="8">
        <f t="shared" si="2"/>
        <v>4712</v>
      </c>
      <c r="J311" s="8">
        <f>IF(AND(P311, O311), 0, IF(O311, INT((('Lån Översikt'!$C$5 * 1 / 100) / 12)), INT((('Lån Översikt'!$C$5 * 'Lån Översikt'!$C$15 / 100) / 12))))
</f>
        <v>3125</v>
      </c>
      <c r="K311" s="8">
        <f t="shared" si="3"/>
        <v>4166</v>
      </c>
      <c r="L311" s="8">
        <f t="shared" si="4"/>
        <v>17689</v>
      </c>
      <c r="M311" s="8">
        <f>(L311 + 'Lån Översikt'!$D$50)</f>
        <v>39638</v>
      </c>
      <c r="N311" s="8">
        <f>IF('Lån Översikt'!$D$22 = "JA", 
    IF(Q311 = TRUE, 'Lån Översikt'!$D$24 - M311, 'Lån Översikt'!$D$24 - M311 + 18300), 
    'Lån Översikt'!$D$24 - M311)
</f>
        <v>10162</v>
      </c>
      <c r="O311" s="25" t="b">
        <f t="shared" si="5"/>
        <v>1</v>
      </c>
      <c r="P311" s="26" t="b">
        <f t="shared" si="6"/>
        <v>0</v>
      </c>
      <c r="Q311" s="27" t="b">
        <f t="shared" si="8"/>
        <v>0</v>
      </c>
    </row>
    <row r="312">
      <c r="F312" s="8">
        <v>309.0</v>
      </c>
      <c r="G312" s="11">
        <f t="shared" si="1"/>
        <v>2221875</v>
      </c>
      <c r="H312" s="9">
        <f>INT(IF(AND('Lån Översikt'!$D$7="JA", 'Lån Översikt'!$D$11="JA", 'Lån Översikt'!$D$8="JA"), (G312*(('Lån Översikt'!$C$7/100*'Lån Översikt'!$C$11/100)-'Lån Översikt'!$C$8/100))/12, IF(AND('Lån Översikt'!$D$7="JA", 'Lån Översikt'!$D$11="JA", 'Lån Översikt'!$D$8="NEJ"), (G312*(('Lån Översikt'!$C$7/100*'Lån Översikt'!$C$11/100))/12), 0)))
</f>
        <v>5678</v>
      </c>
      <c r="I312" s="8">
        <f t="shared" si="2"/>
        <v>4712</v>
      </c>
      <c r="J312" s="8">
        <f>IF(AND(P312, O312), 0, IF(O312, INT((('Lån Översikt'!$C$5 * 1 / 100) / 12)), INT((('Lån Översikt'!$C$5 * 'Lån Översikt'!$C$15 / 100) / 12))))
</f>
        <v>3125</v>
      </c>
      <c r="K312" s="8">
        <f t="shared" si="3"/>
        <v>4166</v>
      </c>
      <c r="L312" s="8">
        <f t="shared" si="4"/>
        <v>17681</v>
      </c>
      <c r="M312" s="8">
        <f>(L312 + 'Lån Översikt'!$D$50)</f>
        <v>39630</v>
      </c>
      <c r="N312" s="8">
        <f>IF('Lån Översikt'!$D$22 = "JA", 
    IF(Q312 = TRUE, 'Lån Översikt'!$D$24 - M312, 'Lån Översikt'!$D$24 - M312 + 18300), 
    'Lån Översikt'!$D$24 - M312)
</f>
        <v>10170</v>
      </c>
      <c r="O312" s="25" t="b">
        <f t="shared" si="5"/>
        <v>1</v>
      </c>
      <c r="P312" s="26" t="b">
        <f t="shared" si="6"/>
        <v>0</v>
      </c>
      <c r="Q312" s="27" t="b">
        <f t="shared" si="8"/>
        <v>0</v>
      </c>
    </row>
    <row r="313">
      <c r="F313" s="8">
        <v>310.0</v>
      </c>
      <c r="G313" s="11">
        <f t="shared" si="1"/>
        <v>2218750</v>
      </c>
      <c r="H313" s="9">
        <f>INT(IF(AND('Lån Översikt'!$D$7="JA", 'Lån Översikt'!$D$11="JA", 'Lån Översikt'!$D$8="JA"), (G313*(('Lån Översikt'!$C$7/100*'Lån Översikt'!$C$11/100)-'Lån Översikt'!$C$8/100))/12, IF(AND('Lån Översikt'!$D$7="JA", 'Lån Översikt'!$D$11="JA", 'Lån Översikt'!$D$8="NEJ"), (G313*(('Lån Översikt'!$C$7/100*'Lån Översikt'!$C$11/100))/12), 0)))
</f>
        <v>5670</v>
      </c>
      <c r="I313" s="8">
        <f t="shared" si="2"/>
        <v>4712</v>
      </c>
      <c r="J313" s="8">
        <f>IF(AND(P313, O313), 0, IF(O313, INT((('Lån Översikt'!$C$5 * 1 / 100) / 12)), INT((('Lån Översikt'!$C$5 * 'Lån Översikt'!$C$15 / 100) / 12))))
</f>
        <v>3125</v>
      </c>
      <c r="K313" s="8">
        <f t="shared" si="3"/>
        <v>4166</v>
      </c>
      <c r="L313" s="8">
        <f t="shared" si="4"/>
        <v>17673</v>
      </c>
      <c r="M313" s="8">
        <f>(L313 + 'Lån Översikt'!$D$50)</f>
        <v>39622</v>
      </c>
      <c r="N313" s="8">
        <f>IF('Lån Översikt'!$D$22 = "JA", 
    IF(Q313 = TRUE, 'Lån Översikt'!$D$24 - M313, 'Lån Översikt'!$D$24 - M313 + 18300), 
    'Lån Översikt'!$D$24 - M313)
</f>
        <v>10178</v>
      </c>
      <c r="O313" s="25" t="b">
        <f t="shared" si="5"/>
        <v>1</v>
      </c>
      <c r="P313" s="26" t="b">
        <f t="shared" si="6"/>
        <v>0</v>
      </c>
      <c r="Q313" s="27" t="b">
        <f t="shared" si="8"/>
        <v>0</v>
      </c>
    </row>
    <row r="314">
      <c r="F314" s="8">
        <v>311.0</v>
      </c>
      <c r="G314" s="11">
        <f t="shared" si="1"/>
        <v>2215625</v>
      </c>
      <c r="H314" s="9">
        <f>INT(IF(AND('Lån Översikt'!$D$7="JA", 'Lån Översikt'!$D$11="JA", 'Lån Översikt'!$D$8="JA"), (G314*(('Lån Översikt'!$C$7/100*'Lån Översikt'!$C$11/100)-'Lån Översikt'!$C$8/100))/12, IF(AND('Lån Översikt'!$D$7="JA", 'Lån Översikt'!$D$11="JA", 'Lån Översikt'!$D$8="NEJ"), (G314*(('Lån Översikt'!$C$7/100*'Lån Översikt'!$C$11/100))/12), 0)))
</f>
        <v>5662</v>
      </c>
      <c r="I314" s="8">
        <f t="shared" si="2"/>
        <v>4712</v>
      </c>
      <c r="J314" s="8">
        <f>IF(AND(P314, O314), 0, IF(O314, INT((('Lån Översikt'!$C$5 * 1 / 100) / 12)), INT((('Lån Översikt'!$C$5 * 'Lån Översikt'!$C$15 / 100) / 12))))
</f>
        <v>3125</v>
      </c>
      <c r="K314" s="8">
        <f t="shared" si="3"/>
        <v>4166</v>
      </c>
      <c r="L314" s="8">
        <f t="shared" si="4"/>
        <v>17665</v>
      </c>
      <c r="M314" s="8">
        <f>(L314 + 'Lån Översikt'!$D$50)</f>
        <v>39614</v>
      </c>
      <c r="N314" s="8">
        <f>IF('Lån Översikt'!$D$22 = "JA", 
    IF(Q314 = TRUE, 'Lån Översikt'!$D$24 - M314, 'Lån Översikt'!$D$24 - M314 + 18300), 
    'Lån Översikt'!$D$24 - M314)
</f>
        <v>10186</v>
      </c>
      <c r="O314" s="25" t="b">
        <f t="shared" si="5"/>
        <v>1</v>
      </c>
      <c r="P314" s="26" t="b">
        <f t="shared" si="6"/>
        <v>0</v>
      </c>
      <c r="Q314" s="27" t="b">
        <f t="shared" si="8"/>
        <v>0</v>
      </c>
    </row>
    <row r="315">
      <c r="F315" s="8">
        <v>312.0</v>
      </c>
      <c r="G315" s="11">
        <f t="shared" si="1"/>
        <v>2212500</v>
      </c>
      <c r="H315" s="9">
        <f>INT(IF(AND('Lån Översikt'!$D$7="JA", 'Lån Översikt'!$D$11="JA", 'Lån Översikt'!$D$8="JA"), (G315*(('Lån Översikt'!$C$7/100*'Lån Översikt'!$C$11/100)-'Lån Översikt'!$C$8/100))/12, IF(AND('Lån Översikt'!$D$7="JA", 'Lån Översikt'!$D$11="JA", 'Lån Översikt'!$D$8="NEJ"), (G315*(('Lån Översikt'!$C$7/100*'Lån Översikt'!$C$11/100))/12), 0)))
</f>
        <v>5654</v>
      </c>
      <c r="I315" s="8">
        <f t="shared" si="2"/>
        <v>4712</v>
      </c>
      <c r="J315" s="8">
        <f>IF(AND(P315, O315), 0, IF(O315, INT((('Lån Översikt'!$C$5 * 1 / 100) / 12)), INT((('Lån Översikt'!$C$5 * 'Lån Översikt'!$C$15 / 100) / 12))))
</f>
        <v>3125</v>
      </c>
      <c r="K315" s="8">
        <f t="shared" si="3"/>
        <v>4166</v>
      </c>
      <c r="L315" s="8">
        <f t="shared" si="4"/>
        <v>17657</v>
      </c>
      <c r="M315" s="8">
        <f>(L315 + 'Lån Översikt'!$D$50)</f>
        <v>39606</v>
      </c>
      <c r="N315" s="8">
        <f>IF('Lån Översikt'!$D$22 = "JA", 
    IF(Q315 = TRUE, 'Lån Översikt'!$D$24 - M315, 'Lån Översikt'!$D$24 - M315 + 18300), 
    'Lån Översikt'!$D$24 - M315)
</f>
        <v>10194</v>
      </c>
      <c r="O315" s="25" t="b">
        <f t="shared" si="5"/>
        <v>1</v>
      </c>
      <c r="P315" s="26" t="b">
        <f t="shared" si="6"/>
        <v>0</v>
      </c>
      <c r="Q315" s="27" t="b">
        <f t="shared" si="8"/>
        <v>0</v>
      </c>
    </row>
    <row r="316">
      <c r="F316" s="8">
        <v>313.0</v>
      </c>
      <c r="G316" s="11">
        <f t="shared" si="1"/>
        <v>2209375</v>
      </c>
      <c r="H316" s="9">
        <f>INT(IF(AND('Lån Översikt'!$D$7="JA", 'Lån Översikt'!$D$11="JA", 'Lån Översikt'!$D$8="JA"), (G316*(('Lån Översikt'!$C$7/100*'Lån Översikt'!$C$11/100)-'Lån Översikt'!$C$8/100))/12, IF(AND('Lån Översikt'!$D$7="JA", 'Lån Översikt'!$D$11="JA", 'Lån Översikt'!$D$8="NEJ"), (G316*(('Lån Översikt'!$C$7/100*'Lån Översikt'!$C$11/100))/12), 0)))
</f>
        <v>5646</v>
      </c>
      <c r="I316" s="8">
        <f t="shared" si="2"/>
        <v>4712</v>
      </c>
      <c r="J316" s="8">
        <f>IF(AND(P316, O316), 0, IF(O316, INT((('Lån Översikt'!$C$5 * 1 / 100) / 12)), INT((('Lån Översikt'!$C$5 * 'Lån Översikt'!$C$15 / 100) / 12))))
</f>
        <v>3125</v>
      </c>
      <c r="K316" s="8">
        <f t="shared" si="3"/>
        <v>4166</v>
      </c>
      <c r="L316" s="8">
        <f t="shared" si="4"/>
        <v>17649</v>
      </c>
      <c r="M316" s="8">
        <f>(L316 + 'Lån Översikt'!$D$50)</f>
        <v>39598</v>
      </c>
      <c r="N316" s="8">
        <f>IF('Lån Översikt'!$D$22 = "JA", 
    IF(Q316 = TRUE, 'Lån Översikt'!$D$24 - M316, 'Lån Översikt'!$D$24 - M316 + 18300), 
    'Lån Översikt'!$D$24 - M316)
</f>
        <v>10202</v>
      </c>
      <c r="O316" s="25" t="b">
        <f t="shared" si="5"/>
        <v>1</v>
      </c>
      <c r="P316" s="26" t="b">
        <f t="shared" si="6"/>
        <v>0</v>
      </c>
      <c r="Q316" s="27" t="b">
        <f t="shared" si="8"/>
        <v>0</v>
      </c>
    </row>
    <row r="317">
      <c r="F317" s="8">
        <v>314.0</v>
      </c>
      <c r="G317" s="11">
        <f t="shared" si="1"/>
        <v>2206250</v>
      </c>
      <c r="H317" s="9">
        <f>INT(IF(AND('Lån Översikt'!$D$7="JA", 'Lån Översikt'!$D$11="JA", 'Lån Översikt'!$D$8="JA"), (G317*(('Lån Översikt'!$C$7/100*'Lån Översikt'!$C$11/100)-'Lån Översikt'!$C$8/100))/12, IF(AND('Lån Översikt'!$D$7="JA", 'Lån Översikt'!$D$11="JA", 'Lån Översikt'!$D$8="NEJ"), (G317*(('Lån Översikt'!$C$7/100*'Lån Översikt'!$C$11/100))/12), 0)))
</f>
        <v>5638</v>
      </c>
      <c r="I317" s="8">
        <f t="shared" si="2"/>
        <v>4712</v>
      </c>
      <c r="J317" s="8">
        <f>IF(AND(P317, O317), 0, IF(O317, INT((('Lån Översikt'!$C$5 * 1 / 100) / 12)), INT((('Lån Översikt'!$C$5 * 'Lån Översikt'!$C$15 / 100) / 12))))
</f>
        <v>3125</v>
      </c>
      <c r="K317" s="8">
        <f t="shared" si="3"/>
        <v>4166</v>
      </c>
      <c r="L317" s="8">
        <f t="shared" si="4"/>
        <v>17641</v>
      </c>
      <c r="M317" s="8">
        <f>(L317 + 'Lån Översikt'!$D$50)</f>
        <v>39590</v>
      </c>
      <c r="N317" s="8">
        <f>IF('Lån Översikt'!$D$22 = "JA", 
    IF(Q317 = TRUE, 'Lån Översikt'!$D$24 - M317, 'Lån Översikt'!$D$24 - M317 + 18300), 
    'Lån Översikt'!$D$24 - M317)
</f>
        <v>10210</v>
      </c>
      <c r="O317" s="25" t="b">
        <f t="shared" si="5"/>
        <v>1</v>
      </c>
      <c r="P317" s="26" t="b">
        <f t="shared" si="6"/>
        <v>0</v>
      </c>
      <c r="Q317" s="27" t="b">
        <f t="shared" si="8"/>
        <v>0</v>
      </c>
    </row>
    <row r="318">
      <c r="F318" s="8">
        <v>315.0</v>
      </c>
      <c r="G318" s="11">
        <f t="shared" si="1"/>
        <v>2203125</v>
      </c>
      <c r="H318" s="9">
        <f>INT(IF(AND('Lån Översikt'!$D$7="JA", 'Lån Översikt'!$D$11="JA", 'Lån Översikt'!$D$8="JA"), (G318*(('Lån Översikt'!$C$7/100*'Lån Översikt'!$C$11/100)-'Lån Översikt'!$C$8/100))/12, IF(AND('Lån Översikt'!$D$7="JA", 'Lån Översikt'!$D$11="JA", 'Lån Översikt'!$D$8="NEJ"), (G318*(('Lån Översikt'!$C$7/100*'Lån Översikt'!$C$11/100))/12), 0)))
</f>
        <v>5630</v>
      </c>
      <c r="I318" s="8">
        <f t="shared" si="2"/>
        <v>4712</v>
      </c>
      <c r="J318" s="8">
        <f>IF(AND(P318, O318), 0, IF(O318, INT((('Lån Översikt'!$C$5 * 1 / 100) / 12)), INT((('Lån Översikt'!$C$5 * 'Lån Översikt'!$C$15 / 100) / 12))))
</f>
        <v>3125</v>
      </c>
      <c r="K318" s="8">
        <f t="shared" si="3"/>
        <v>4166</v>
      </c>
      <c r="L318" s="8">
        <f t="shared" si="4"/>
        <v>17633</v>
      </c>
      <c r="M318" s="8">
        <f>(L318 + 'Lån Översikt'!$D$50)</f>
        <v>39582</v>
      </c>
      <c r="N318" s="8">
        <f>IF('Lån Översikt'!$D$22 = "JA", 
    IF(Q318 = TRUE, 'Lån Översikt'!$D$24 - M318, 'Lån Översikt'!$D$24 - M318 + 18300), 
    'Lån Översikt'!$D$24 - M318)
</f>
        <v>10218</v>
      </c>
      <c r="O318" s="25" t="b">
        <f t="shared" si="5"/>
        <v>1</v>
      </c>
      <c r="P318" s="26" t="b">
        <f t="shared" si="6"/>
        <v>0</v>
      </c>
      <c r="Q318" s="27" t="b">
        <f t="shared" si="8"/>
        <v>0</v>
      </c>
    </row>
    <row r="319">
      <c r="F319" s="8">
        <v>316.0</v>
      </c>
      <c r="G319" s="11">
        <f t="shared" si="1"/>
        <v>2200000</v>
      </c>
      <c r="H319" s="9">
        <f>INT(IF(AND('Lån Översikt'!$D$7="JA", 'Lån Översikt'!$D$11="JA", 'Lån Översikt'!$D$8="JA"), (G319*(('Lån Översikt'!$C$7/100*'Lån Översikt'!$C$11/100)-'Lån Översikt'!$C$8/100))/12, IF(AND('Lån Översikt'!$D$7="JA", 'Lån Översikt'!$D$11="JA", 'Lån Översikt'!$D$8="NEJ"), (G319*(('Lån Översikt'!$C$7/100*'Lån Översikt'!$C$11/100))/12), 0)))
</f>
        <v>5622</v>
      </c>
      <c r="I319" s="8">
        <f t="shared" si="2"/>
        <v>4712</v>
      </c>
      <c r="J319" s="8">
        <f>IF(AND(P319, O319), 0, IF(O319, INT((('Lån Översikt'!$C$5 * 1 / 100) / 12)), INT((('Lån Översikt'!$C$5 * 'Lån Översikt'!$C$15 / 100) / 12))))
</f>
        <v>3125</v>
      </c>
      <c r="K319" s="8">
        <f t="shared" si="3"/>
        <v>4166</v>
      </c>
      <c r="L319" s="8">
        <f t="shared" si="4"/>
        <v>17625</v>
      </c>
      <c r="M319" s="8">
        <f>(L319 + 'Lån Översikt'!$D$50)</f>
        <v>39574</v>
      </c>
      <c r="N319" s="8">
        <f>IF('Lån Översikt'!$D$22 = "JA", 
    IF(Q319 = TRUE, 'Lån Översikt'!$D$24 - M319, 'Lån Översikt'!$D$24 - M319 + 18300), 
    'Lån Översikt'!$D$24 - M319)
</f>
        <v>10226</v>
      </c>
      <c r="O319" s="25" t="b">
        <f t="shared" si="5"/>
        <v>1</v>
      </c>
      <c r="P319" s="26" t="b">
        <f t="shared" si="6"/>
        <v>0</v>
      </c>
      <c r="Q319" s="27" t="b">
        <f t="shared" si="8"/>
        <v>0</v>
      </c>
    </row>
    <row r="320">
      <c r="F320" s="8">
        <v>317.0</v>
      </c>
      <c r="G320" s="11">
        <f t="shared" si="1"/>
        <v>2196875</v>
      </c>
      <c r="H320" s="9">
        <f>INT(IF(AND('Lån Översikt'!$D$7="JA", 'Lån Översikt'!$D$11="JA", 'Lån Översikt'!$D$8="JA"), (G320*(('Lån Översikt'!$C$7/100*'Lån Översikt'!$C$11/100)-'Lån Översikt'!$C$8/100))/12, IF(AND('Lån Översikt'!$D$7="JA", 'Lån Översikt'!$D$11="JA", 'Lån Översikt'!$D$8="NEJ"), (G320*(('Lån Översikt'!$C$7/100*'Lån Översikt'!$C$11/100))/12), 0)))
</f>
        <v>5614</v>
      </c>
      <c r="I320" s="8">
        <f t="shared" si="2"/>
        <v>4712</v>
      </c>
      <c r="J320" s="8">
        <f>IF(AND(P320, O320), 0, IF(O320, INT((('Lån Översikt'!$C$5 * 1 / 100) / 12)), INT((('Lån Översikt'!$C$5 * 'Lån Översikt'!$C$15 / 100) / 12))))
</f>
        <v>3125</v>
      </c>
      <c r="K320" s="8">
        <f t="shared" si="3"/>
        <v>4166</v>
      </c>
      <c r="L320" s="8">
        <f t="shared" si="4"/>
        <v>17617</v>
      </c>
      <c r="M320" s="8">
        <f>(L320 + 'Lån Översikt'!$D$50)</f>
        <v>39566</v>
      </c>
      <c r="N320" s="8">
        <f>IF('Lån Översikt'!$D$22 = "JA", 
    IF(Q320 = TRUE, 'Lån Översikt'!$D$24 - M320, 'Lån Översikt'!$D$24 - M320 + 18300), 
    'Lån Översikt'!$D$24 - M320)
</f>
        <v>10234</v>
      </c>
      <c r="O320" s="25" t="b">
        <f t="shared" si="5"/>
        <v>1</v>
      </c>
      <c r="P320" s="26" t="b">
        <f t="shared" si="6"/>
        <v>0</v>
      </c>
      <c r="Q320" s="27" t="b">
        <f t="shared" si="8"/>
        <v>0</v>
      </c>
    </row>
    <row r="321">
      <c r="F321" s="8">
        <v>318.0</v>
      </c>
      <c r="G321" s="11">
        <f t="shared" si="1"/>
        <v>2193750</v>
      </c>
      <c r="H321" s="9">
        <f>INT(IF(AND('Lån Översikt'!$D$7="JA", 'Lån Översikt'!$D$11="JA", 'Lån Översikt'!$D$8="JA"), (G321*(('Lån Översikt'!$C$7/100*'Lån Översikt'!$C$11/100)-'Lån Översikt'!$C$8/100))/12, IF(AND('Lån Översikt'!$D$7="JA", 'Lån Översikt'!$D$11="JA", 'Lån Översikt'!$D$8="NEJ"), (G321*(('Lån Översikt'!$C$7/100*'Lån Översikt'!$C$11/100))/12), 0)))
</f>
        <v>5606</v>
      </c>
      <c r="I321" s="8">
        <f t="shared" si="2"/>
        <v>4712</v>
      </c>
      <c r="J321" s="8">
        <f>IF(AND(P321, O321), 0, IF(O321, INT((('Lån Översikt'!$C$5 * 1 / 100) / 12)), INT((('Lån Översikt'!$C$5 * 'Lån Översikt'!$C$15 / 100) / 12))))
</f>
        <v>3125</v>
      </c>
      <c r="K321" s="8">
        <f t="shared" si="3"/>
        <v>4166</v>
      </c>
      <c r="L321" s="8">
        <f t="shared" si="4"/>
        <v>17609</v>
      </c>
      <c r="M321" s="8">
        <f>(L321 + 'Lån Översikt'!$D$50)</f>
        <v>39558</v>
      </c>
      <c r="N321" s="8">
        <f>IF('Lån Översikt'!$D$22 = "JA", 
    IF(Q321 = TRUE, 'Lån Översikt'!$D$24 - M321, 'Lån Översikt'!$D$24 - M321 + 18300), 
    'Lån Översikt'!$D$24 - M321)
</f>
        <v>10242</v>
      </c>
      <c r="O321" s="25" t="b">
        <f t="shared" si="5"/>
        <v>1</v>
      </c>
      <c r="P321" s="26" t="b">
        <f t="shared" si="6"/>
        <v>0</v>
      </c>
      <c r="Q321" s="27" t="b">
        <f t="shared" si="8"/>
        <v>0</v>
      </c>
    </row>
    <row r="322">
      <c r="F322" s="8">
        <v>319.0</v>
      </c>
      <c r="G322" s="11">
        <f t="shared" si="1"/>
        <v>2190625</v>
      </c>
      <c r="H322" s="9">
        <f>INT(IF(AND('Lån Översikt'!$D$7="JA", 'Lån Översikt'!$D$11="JA", 'Lån Översikt'!$D$8="JA"), (G322*(('Lån Översikt'!$C$7/100*'Lån Översikt'!$C$11/100)-'Lån Översikt'!$C$8/100))/12, IF(AND('Lån Översikt'!$D$7="JA", 'Lån Översikt'!$D$11="JA", 'Lån Översikt'!$D$8="NEJ"), (G322*(('Lån Översikt'!$C$7/100*'Lån Översikt'!$C$11/100))/12), 0)))
</f>
        <v>5598</v>
      </c>
      <c r="I322" s="8">
        <f t="shared" si="2"/>
        <v>4712</v>
      </c>
      <c r="J322" s="8">
        <f>IF(AND(P322, O322), 0, IF(O322, INT((('Lån Översikt'!$C$5 * 1 / 100) / 12)), INT((('Lån Översikt'!$C$5 * 'Lån Översikt'!$C$15 / 100) / 12))))
</f>
        <v>3125</v>
      </c>
      <c r="K322" s="8">
        <f t="shared" si="3"/>
        <v>4166</v>
      </c>
      <c r="L322" s="8">
        <f t="shared" si="4"/>
        <v>17601</v>
      </c>
      <c r="M322" s="8">
        <f>(L322 + 'Lån Översikt'!$D$50)</f>
        <v>39550</v>
      </c>
      <c r="N322" s="8">
        <f>IF('Lån Översikt'!$D$22 = "JA", 
    IF(Q322 = TRUE, 'Lån Översikt'!$D$24 - M322, 'Lån Översikt'!$D$24 - M322 + 18300), 
    'Lån Översikt'!$D$24 - M322)
</f>
        <v>10250</v>
      </c>
      <c r="O322" s="25" t="b">
        <f t="shared" si="5"/>
        <v>1</v>
      </c>
      <c r="P322" s="26" t="b">
        <f t="shared" si="6"/>
        <v>0</v>
      </c>
      <c r="Q322" s="27" t="b">
        <f t="shared" si="8"/>
        <v>0</v>
      </c>
    </row>
    <row r="323">
      <c r="F323" s="8">
        <v>320.0</v>
      </c>
      <c r="G323" s="11">
        <f t="shared" si="1"/>
        <v>2187500</v>
      </c>
      <c r="H323" s="9">
        <f>INT(IF(AND('Lån Översikt'!$D$7="JA", 'Lån Översikt'!$D$11="JA", 'Lån Översikt'!$D$8="JA"), (G323*(('Lån Översikt'!$C$7/100*'Lån Översikt'!$C$11/100)-'Lån Översikt'!$C$8/100))/12, IF(AND('Lån Översikt'!$D$7="JA", 'Lån Översikt'!$D$11="JA", 'Lån Översikt'!$D$8="NEJ"), (G323*(('Lån Översikt'!$C$7/100*'Lån Översikt'!$C$11/100))/12), 0)))
</f>
        <v>5590</v>
      </c>
      <c r="I323" s="8">
        <f t="shared" si="2"/>
        <v>4712</v>
      </c>
      <c r="J323" s="8">
        <f>IF(AND(P323, O323), 0, IF(O323, INT((('Lån Översikt'!$C$5 * 1 / 100) / 12)), INT((('Lån Översikt'!$C$5 * 'Lån Översikt'!$C$15 / 100) / 12))))
</f>
        <v>3125</v>
      </c>
      <c r="K323" s="8">
        <f t="shared" si="3"/>
        <v>4166</v>
      </c>
      <c r="L323" s="8">
        <f t="shared" si="4"/>
        <v>17593</v>
      </c>
      <c r="M323" s="8">
        <f>(L323 + 'Lån Översikt'!$D$50)</f>
        <v>39542</v>
      </c>
      <c r="N323" s="8">
        <f>IF('Lån Översikt'!$D$22 = "JA", 
    IF(Q323 = TRUE, 'Lån Översikt'!$D$24 - M323, 'Lån Översikt'!$D$24 - M323 + 18300), 
    'Lån Översikt'!$D$24 - M323)
</f>
        <v>10258</v>
      </c>
      <c r="O323" s="25" t="b">
        <f t="shared" si="5"/>
        <v>1</v>
      </c>
      <c r="P323" s="26" t="b">
        <f t="shared" si="6"/>
        <v>0</v>
      </c>
      <c r="Q323" s="27" t="b">
        <f t="shared" si="8"/>
        <v>0</v>
      </c>
    </row>
    <row r="324">
      <c r="F324" s="8">
        <v>321.0</v>
      </c>
      <c r="G324" s="11">
        <f t="shared" si="1"/>
        <v>2184375</v>
      </c>
      <c r="H324" s="9">
        <f>INT(IF(AND('Lån Översikt'!$D$7="JA", 'Lån Översikt'!$D$11="JA", 'Lån Översikt'!$D$8="JA"), (G324*(('Lån Översikt'!$C$7/100*'Lån Översikt'!$C$11/100)-'Lån Översikt'!$C$8/100))/12, IF(AND('Lån Översikt'!$D$7="JA", 'Lån Översikt'!$D$11="JA", 'Lån Översikt'!$D$8="NEJ"), (G324*(('Lån Översikt'!$C$7/100*'Lån Översikt'!$C$11/100))/12), 0)))
</f>
        <v>5582</v>
      </c>
      <c r="I324" s="8">
        <f t="shared" si="2"/>
        <v>4712</v>
      </c>
      <c r="J324" s="8">
        <f>IF(AND(P324, O324), 0, IF(O324, INT((('Lån Översikt'!$C$5 * 1 / 100) / 12)), INT((('Lån Översikt'!$C$5 * 'Lån Översikt'!$C$15 / 100) / 12))))
</f>
        <v>3125</v>
      </c>
      <c r="K324" s="8">
        <f t="shared" si="3"/>
        <v>4166</v>
      </c>
      <c r="L324" s="8">
        <f t="shared" si="4"/>
        <v>17585</v>
      </c>
      <c r="M324" s="8">
        <f>(L324 + 'Lån Översikt'!$D$50)</f>
        <v>39534</v>
      </c>
      <c r="N324" s="8">
        <f>IF('Lån Översikt'!$D$22 = "JA", 
    IF(Q324 = TRUE, 'Lån Översikt'!$D$24 - M324, 'Lån Översikt'!$D$24 - M324 + 18300), 
    'Lån Översikt'!$D$24 - M324)
</f>
        <v>10266</v>
      </c>
      <c r="O324" s="25" t="b">
        <f t="shared" si="5"/>
        <v>1</v>
      </c>
      <c r="P324" s="26" t="b">
        <f t="shared" si="6"/>
        <v>0</v>
      </c>
      <c r="Q324" s="27" t="b">
        <f t="shared" si="8"/>
        <v>0</v>
      </c>
    </row>
    <row r="325">
      <c r="F325" s="8">
        <v>322.0</v>
      </c>
      <c r="G325" s="11">
        <f t="shared" si="1"/>
        <v>2181250</v>
      </c>
      <c r="H325" s="9">
        <f>INT(IF(AND('Lån Översikt'!$D$7="JA", 'Lån Översikt'!$D$11="JA", 'Lån Översikt'!$D$8="JA"), (G325*(('Lån Översikt'!$C$7/100*'Lån Översikt'!$C$11/100)-'Lån Översikt'!$C$8/100))/12, IF(AND('Lån Översikt'!$D$7="JA", 'Lån Översikt'!$D$11="JA", 'Lån Översikt'!$D$8="NEJ"), (G325*(('Lån Översikt'!$C$7/100*'Lån Översikt'!$C$11/100))/12), 0)))
</f>
        <v>5574</v>
      </c>
      <c r="I325" s="8">
        <f t="shared" si="2"/>
        <v>4712</v>
      </c>
      <c r="J325" s="8">
        <f>IF(AND(P325, O325), 0, IF(O325, INT((('Lån Översikt'!$C$5 * 1 / 100) / 12)), INT((('Lån Översikt'!$C$5 * 'Lån Översikt'!$C$15 / 100) / 12))))
</f>
        <v>3125</v>
      </c>
      <c r="K325" s="8">
        <f t="shared" si="3"/>
        <v>4166</v>
      </c>
      <c r="L325" s="8">
        <f t="shared" si="4"/>
        <v>17577</v>
      </c>
      <c r="M325" s="8">
        <f>(L325 + 'Lån Översikt'!$D$50)</f>
        <v>39526</v>
      </c>
      <c r="N325" s="8">
        <f>IF('Lån Översikt'!$D$22 = "JA", 
    IF(Q325 = TRUE, 'Lån Översikt'!$D$24 - M325, 'Lån Översikt'!$D$24 - M325 + 18300), 
    'Lån Översikt'!$D$24 - M325)
</f>
        <v>10274</v>
      </c>
      <c r="O325" s="25" t="b">
        <f t="shared" si="5"/>
        <v>1</v>
      </c>
      <c r="P325" s="26" t="b">
        <f t="shared" si="6"/>
        <v>0</v>
      </c>
      <c r="Q325" s="27" t="b">
        <f t="shared" si="8"/>
        <v>0</v>
      </c>
    </row>
    <row r="326">
      <c r="F326" s="8">
        <v>323.0</v>
      </c>
      <c r="G326" s="11">
        <f t="shared" si="1"/>
        <v>2178125</v>
      </c>
      <c r="H326" s="9">
        <f>INT(IF(AND('Lån Översikt'!$D$7="JA", 'Lån Översikt'!$D$11="JA", 'Lån Översikt'!$D$8="JA"), (G326*(('Lån Översikt'!$C$7/100*'Lån Översikt'!$C$11/100)-'Lån Översikt'!$C$8/100))/12, IF(AND('Lån Översikt'!$D$7="JA", 'Lån Översikt'!$D$11="JA", 'Lån Översikt'!$D$8="NEJ"), (G326*(('Lån Översikt'!$C$7/100*'Lån Översikt'!$C$11/100))/12), 0)))
</f>
        <v>5566</v>
      </c>
      <c r="I326" s="8">
        <f t="shared" si="2"/>
        <v>4712</v>
      </c>
      <c r="J326" s="8">
        <f>IF(AND(P326, O326), 0, IF(O326, INT((('Lån Översikt'!$C$5 * 1 / 100) / 12)), INT((('Lån Översikt'!$C$5 * 'Lån Översikt'!$C$15 / 100) / 12))))
</f>
        <v>3125</v>
      </c>
      <c r="K326" s="8">
        <f t="shared" si="3"/>
        <v>4166</v>
      </c>
      <c r="L326" s="8">
        <f t="shared" si="4"/>
        <v>17569</v>
      </c>
      <c r="M326" s="8">
        <f>(L326 + 'Lån Översikt'!$D$50)</f>
        <v>39518</v>
      </c>
      <c r="N326" s="8">
        <f>IF('Lån Översikt'!$D$22 = "JA", 
    IF(Q326 = TRUE, 'Lån Översikt'!$D$24 - M326, 'Lån Översikt'!$D$24 - M326 + 18300), 
    'Lån Översikt'!$D$24 - M326)
</f>
        <v>10282</v>
      </c>
      <c r="O326" s="25" t="b">
        <f t="shared" si="5"/>
        <v>1</v>
      </c>
      <c r="P326" s="26" t="b">
        <f t="shared" si="6"/>
        <v>0</v>
      </c>
      <c r="Q326" s="27" t="b">
        <f t="shared" si="8"/>
        <v>0</v>
      </c>
    </row>
    <row r="327">
      <c r="F327" s="8">
        <v>324.0</v>
      </c>
      <c r="G327" s="11">
        <f t="shared" si="1"/>
        <v>2175000</v>
      </c>
      <c r="H327" s="9">
        <f>INT(IF(AND('Lån Översikt'!$D$7="JA", 'Lån Översikt'!$D$11="JA", 'Lån Översikt'!$D$8="JA"), (G327*(('Lån Översikt'!$C$7/100*'Lån Översikt'!$C$11/100)-'Lån Översikt'!$C$8/100))/12, IF(AND('Lån Översikt'!$D$7="JA", 'Lån Översikt'!$D$11="JA", 'Lån Översikt'!$D$8="NEJ"), (G327*(('Lån Översikt'!$C$7/100*'Lån Översikt'!$C$11/100))/12), 0)))
</f>
        <v>5558</v>
      </c>
      <c r="I327" s="8">
        <f t="shared" si="2"/>
        <v>4712</v>
      </c>
      <c r="J327" s="8">
        <f>IF(AND(P327, O327), 0, IF(O327, INT((('Lån Översikt'!$C$5 * 1 / 100) / 12)), INT((('Lån Översikt'!$C$5 * 'Lån Översikt'!$C$15 / 100) / 12))))
</f>
        <v>3125</v>
      </c>
      <c r="K327" s="8">
        <f t="shared" si="3"/>
        <v>4166</v>
      </c>
      <c r="L327" s="8">
        <f t="shared" si="4"/>
        <v>17561</v>
      </c>
      <c r="M327" s="8">
        <f>(L327 + 'Lån Översikt'!$D$50)</f>
        <v>39510</v>
      </c>
      <c r="N327" s="8">
        <f>IF('Lån Översikt'!$D$22 = "JA", 
    IF(Q327 = TRUE, 'Lån Översikt'!$D$24 - M327, 'Lån Översikt'!$D$24 - M327 + 18300), 
    'Lån Översikt'!$D$24 - M327)
</f>
        <v>10290</v>
      </c>
      <c r="O327" s="25" t="b">
        <f t="shared" si="5"/>
        <v>1</v>
      </c>
      <c r="P327" s="26" t="b">
        <f t="shared" si="6"/>
        <v>0</v>
      </c>
      <c r="Q327" s="27" t="b">
        <f t="shared" si="8"/>
        <v>0</v>
      </c>
    </row>
    <row r="328">
      <c r="F328" s="8">
        <v>325.0</v>
      </c>
      <c r="G328" s="11">
        <f t="shared" si="1"/>
        <v>2171875</v>
      </c>
      <c r="H328" s="9">
        <f>INT(IF(AND('Lån Översikt'!$D$7="JA", 'Lån Översikt'!$D$11="JA", 'Lån Översikt'!$D$8="JA"), (G328*(('Lån Översikt'!$C$7/100*'Lån Översikt'!$C$11/100)-'Lån Översikt'!$C$8/100))/12, IF(AND('Lån Översikt'!$D$7="JA", 'Lån Översikt'!$D$11="JA", 'Lån Översikt'!$D$8="NEJ"), (G328*(('Lån Översikt'!$C$7/100*'Lån Översikt'!$C$11/100))/12), 0)))
</f>
        <v>5550</v>
      </c>
      <c r="I328" s="8">
        <f t="shared" si="2"/>
        <v>4712</v>
      </c>
      <c r="J328" s="8">
        <f>IF(AND(P328, O328), 0, IF(O328, INT((('Lån Översikt'!$C$5 * 1 / 100) / 12)), INT((('Lån Översikt'!$C$5 * 'Lån Översikt'!$C$15 / 100) / 12))))
</f>
        <v>3125</v>
      </c>
      <c r="K328" s="8">
        <f t="shared" si="3"/>
        <v>4166</v>
      </c>
      <c r="L328" s="8">
        <f t="shared" si="4"/>
        <v>17553</v>
      </c>
      <c r="M328" s="8">
        <f>(L328 + 'Lån Översikt'!$D$50)</f>
        <v>39502</v>
      </c>
      <c r="N328" s="8">
        <f>IF('Lån Översikt'!$D$22 = "JA", 
    IF(Q328 = TRUE, 'Lån Översikt'!$D$24 - M328, 'Lån Översikt'!$D$24 - M328 + 18300), 
    'Lån Översikt'!$D$24 - M328)
</f>
        <v>10298</v>
      </c>
      <c r="O328" s="25" t="b">
        <f t="shared" si="5"/>
        <v>1</v>
      </c>
      <c r="P328" s="26" t="b">
        <f t="shared" si="6"/>
        <v>0</v>
      </c>
      <c r="Q328" s="27" t="b">
        <f t="shared" si="8"/>
        <v>0</v>
      </c>
    </row>
    <row r="329">
      <c r="F329" s="8">
        <v>326.0</v>
      </c>
      <c r="G329" s="11">
        <f t="shared" si="1"/>
        <v>2168750</v>
      </c>
      <c r="H329" s="9">
        <f>INT(IF(AND('Lån Översikt'!$D$7="JA", 'Lån Översikt'!$D$11="JA", 'Lån Översikt'!$D$8="JA"), (G329*(('Lån Översikt'!$C$7/100*'Lån Översikt'!$C$11/100)-'Lån Översikt'!$C$8/100))/12, IF(AND('Lån Översikt'!$D$7="JA", 'Lån Översikt'!$D$11="JA", 'Lån Översikt'!$D$8="NEJ"), (G329*(('Lån Översikt'!$C$7/100*'Lån Översikt'!$C$11/100))/12), 0)))
</f>
        <v>5542</v>
      </c>
      <c r="I329" s="8">
        <f t="shared" si="2"/>
        <v>4712</v>
      </c>
      <c r="J329" s="8">
        <f>IF(AND(P329, O329), 0, IF(O329, INT((('Lån Översikt'!$C$5 * 1 / 100) / 12)), INT((('Lån Översikt'!$C$5 * 'Lån Översikt'!$C$15 / 100) / 12))))
</f>
        <v>3125</v>
      </c>
      <c r="K329" s="8">
        <f t="shared" si="3"/>
        <v>4166</v>
      </c>
      <c r="L329" s="8">
        <f t="shared" si="4"/>
        <v>17545</v>
      </c>
      <c r="M329" s="8">
        <f>(L329 + 'Lån Översikt'!$D$50)</f>
        <v>39494</v>
      </c>
      <c r="N329" s="8">
        <f>IF('Lån Översikt'!$D$22 = "JA", 
    IF(Q329 = TRUE, 'Lån Översikt'!$D$24 - M329, 'Lån Översikt'!$D$24 - M329 + 18300), 
    'Lån Översikt'!$D$24 - M329)
</f>
        <v>10306</v>
      </c>
      <c r="O329" s="25" t="b">
        <f t="shared" si="5"/>
        <v>1</v>
      </c>
      <c r="P329" s="26" t="b">
        <f t="shared" si="6"/>
        <v>0</v>
      </c>
      <c r="Q329" s="27" t="b">
        <f t="shared" si="8"/>
        <v>0</v>
      </c>
    </row>
    <row r="330">
      <c r="F330" s="8">
        <v>327.0</v>
      </c>
      <c r="G330" s="11">
        <f t="shared" si="1"/>
        <v>2165625</v>
      </c>
      <c r="H330" s="9">
        <f>INT(IF(AND('Lån Översikt'!$D$7="JA", 'Lån Översikt'!$D$11="JA", 'Lån Översikt'!$D$8="JA"), (G330*(('Lån Översikt'!$C$7/100*'Lån Översikt'!$C$11/100)-'Lån Översikt'!$C$8/100))/12, IF(AND('Lån Översikt'!$D$7="JA", 'Lån Översikt'!$D$11="JA", 'Lån Översikt'!$D$8="NEJ"), (G330*(('Lån Översikt'!$C$7/100*'Lån Översikt'!$C$11/100))/12), 0)))
</f>
        <v>5534</v>
      </c>
      <c r="I330" s="8">
        <f t="shared" si="2"/>
        <v>4712</v>
      </c>
      <c r="J330" s="8">
        <f>IF(AND(P330, O330), 0, IF(O330, INT((('Lån Översikt'!$C$5 * 1 / 100) / 12)), INT((('Lån Översikt'!$C$5 * 'Lån Översikt'!$C$15 / 100) / 12))))
</f>
        <v>3125</v>
      </c>
      <c r="K330" s="8">
        <f t="shared" si="3"/>
        <v>4166</v>
      </c>
      <c r="L330" s="8">
        <f t="shared" si="4"/>
        <v>17537</v>
      </c>
      <c r="M330" s="8">
        <f>(L330 + 'Lån Översikt'!$D$50)</f>
        <v>39486</v>
      </c>
      <c r="N330" s="8">
        <f>IF('Lån Översikt'!$D$22 = "JA", 
    IF(Q330 = TRUE, 'Lån Översikt'!$D$24 - M330, 'Lån Översikt'!$D$24 - M330 + 18300), 
    'Lån Översikt'!$D$24 - M330)
</f>
        <v>10314</v>
      </c>
      <c r="O330" s="25" t="b">
        <f t="shared" si="5"/>
        <v>1</v>
      </c>
      <c r="P330" s="26" t="b">
        <f t="shared" si="6"/>
        <v>0</v>
      </c>
      <c r="Q330" s="27" t="b">
        <f t="shared" si="8"/>
        <v>0</v>
      </c>
    </row>
    <row r="331">
      <c r="F331" s="8">
        <v>328.0</v>
      </c>
      <c r="G331" s="11">
        <f t="shared" si="1"/>
        <v>2162500</v>
      </c>
      <c r="H331" s="9">
        <f>INT(IF(AND('Lån Översikt'!$D$7="JA", 'Lån Översikt'!$D$11="JA", 'Lån Översikt'!$D$8="JA"), (G331*(('Lån Översikt'!$C$7/100*'Lån Översikt'!$C$11/100)-'Lån Översikt'!$C$8/100))/12, IF(AND('Lån Översikt'!$D$7="JA", 'Lån Översikt'!$D$11="JA", 'Lån Översikt'!$D$8="NEJ"), (G331*(('Lån Översikt'!$C$7/100*'Lån Översikt'!$C$11/100))/12), 0)))
</f>
        <v>5526</v>
      </c>
      <c r="I331" s="8">
        <f t="shared" si="2"/>
        <v>4712</v>
      </c>
      <c r="J331" s="8">
        <f>IF(AND(P331, O331), 0, IF(O331, INT((('Lån Översikt'!$C$5 * 1 / 100) / 12)), INT((('Lån Översikt'!$C$5 * 'Lån Översikt'!$C$15 / 100) / 12))))
</f>
        <v>3125</v>
      </c>
      <c r="K331" s="8">
        <f t="shared" si="3"/>
        <v>4166</v>
      </c>
      <c r="L331" s="8">
        <f t="shared" si="4"/>
        <v>17529</v>
      </c>
      <c r="M331" s="8">
        <f>(L331 + 'Lån Översikt'!$D$50)</f>
        <v>39478</v>
      </c>
      <c r="N331" s="8">
        <f>IF('Lån Översikt'!$D$22 = "JA", 
    IF(Q331 = TRUE, 'Lån Översikt'!$D$24 - M331, 'Lån Översikt'!$D$24 - M331 + 18300), 
    'Lån Översikt'!$D$24 - M331)
</f>
        <v>10322</v>
      </c>
      <c r="O331" s="25" t="b">
        <f t="shared" si="5"/>
        <v>1</v>
      </c>
      <c r="P331" s="26" t="b">
        <f t="shared" si="6"/>
        <v>0</v>
      </c>
      <c r="Q331" s="27" t="b">
        <f t="shared" si="8"/>
        <v>0</v>
      </c>
    </row>
    <row r="332">
      <c r="F332" s="8">
        <v>329.0</v>
      </c>
      <c r="G332" s="11">
        <f t="shared" si="1"/>
        <v>2159375</v>
      </c>
      <c r="H332" s="9">
        <f>INT(IF(AND('Lån Översikt'!$D$7="JA", 'Lån Översikt'!$D$11="JA", 'Lån Översikt'!$D$8="JA"), (G332*(('Lån Översikt'!$C$7/100*'Lån Översikt'!$C$11/100)-'Lån Översikt'!$C$8/100))/12, IF(AND('Lån Översikt'!$D$7="JA", 'Lån Översikt'!$D$11="JA", 'Lån Översikt'!$D$8="NEJ"), (G332*(('Lån Översikt'!$C$7/100*'Lån Översikt'!$C$11/100))/12), 0)))
</f>
        <v>5519</v>
      </c>
      <c r="I332" s="8">
        <f t="shared" si="2"/>
        <v>4712</v>
      </c>
      <c r="J332" s="8">
        <f>IF(AND(P332, O332), 0, IF(O332, INT((('Lån Översikt'!$C$5 * 1 / 100) / 12)), INT((('Lån Översikt'!$C$5 * 'Lån Översikt'!$C$15 / 100) / 12))))
</f>
        <v>3125</v>
      </c>
      <c r="K332" s="8">
        <f t="shared" si="3"/>
        <v>4166</v>
      </c>
      <c r="L332" s="8">
        <f t="shared" si="4"/>
        <v>17522</v>
      </c>
      <c r="M332" s="8">
        <f>(L332 + 'Lån Översikt'!$D$50)</f>
        <v>39471</v>
      </c>
      <c r="N332" s="8">
        <f>IF('Lån Översikt'!$D$22 = "JA", 
    IF(Q332 = TRUE, 'Lån Översikt'!$D$24 - M332, 'Lån Översikt'!$D$24 - M332 + 18300), 
    'Lån Översikt'!$D$24 - M332)
</f>
        <v>10329</v>
      </c>
      <c r="O332" s="25" t="b">
        <f t="shared" si="5"/>
        <v>1</v>
      </c>
      <c r="P332" s="26" t="b">
        <f t="shared" si="6"/>
        <v>0</v>
      </c>
      <c r="Q332" s="27" t="b">
        <f t="shared" si="8"/>
        <v>0</v>
      </c>
    </row>
    <row r="333">
      <c r="F333" s="8">
        <v>330.0</v>
      </c>
      <c r="G333" s="11">
        <f t="shared" si="1"/>
        <v>2156250</v>
      </c>
      <c r="H333" s="9">
        <f>INT(IF(AND('Lån Översikt'!$D$7="JA", 'Lån Översikt'!$D$11="JA", 'Lån Översikt'!$D$8="JA"), (G333*(('Lån Översikt'!$C$7/100*'Lån Översikt'!$C$11/100)-'Lån Översikt'!$C$8/100))/12, IF(AND('Lån Översikt'!$D$7="JA", 'Lån Översikt'!$D$11="JA", 'Lån Översikt'!$D$8="NEJ"), (G333*(('Lån Översikt'!$C$7/100*'Lån Översikt'!$C$11/100))/12), 0)))
</f>
        <v>5511</v>
      </c>
      <c r="I333" s="8">
        <f t="shared" si="2"/>
        <v>4712</v>
      </c>
      <c r="J333" s="8">
        <f>IF(AND(P333, O333), 0, IF(O333, INT((('Lån Översikt'!$C$5 * 1 / 100) / 12)), INT((('Lån Översikt'!$C$5 * 'Lån Översikt'!$C$15 / 100) / 12))))
</f>
        <v>3125</v>
      </c>
      <c r="K333" s="8">
        <f t="shared" si="3"/>
        <v>4166</v>
      </c>
      <c r="L333" s="8">
        <f t="shared" si="4"/>
        <v>17514</v>
      </c>
      <c r="M333" s="8">
        <f>(L333 + 'Lån Översikt'!$D$50)</f>
        <v>39463</v>
      </c>
      <c r="N333" s="8">
        <f>IF('Lån Översikt'!$D$22 = "JA", 
    IF(Q333 = TRUE, 'Lån Översikt'!$D$24 - M333, 'Lån Översikt'!$D$24 - M333 + 18300), 
    'Lån Översikt'!$D$24 - M333)
</f>
        <v>10337</v>
      </c>
      <c r="O333" s="25" t="b">
        <f t="shared" si="5"/>
        <v>1</v>
      </c>
      <c r="P333" s="26" t="b">
        <f t="shared" si="6"/>
        <v>0</v>
      </c>
      <c r="Q333" s="27" t="b">
        <f t="shared" si="8"/>
        <v>0</v>
      </c>
    </row>
    <row r="334">
      <c r="F334" s="8">
        <v>331.0</v>
      </c>
      <c r="G334" s="11">
        <f t="shared" si="1"/>
        <v>2153125</v>
      </c>
      <c r="H334" s="9">
        <f>INT(IF(AND('Lån Översikt'!$D$7="JA", 'Lån Översikt'!$D$11="JA", 'Lån Översikt'!$D$8="JA"), (G334*(('Lån Översikt'!$C$7/100*'Lån Översikt'!$C$11/100)-'Lån Översikt'!$C$8/100))/12, IF(AND('Lån Översikt'!$D$7="JA", 'Lån Översikt'!$D$11="JA", 'Lån Översikt'!$D$8="NEJ"), (G334*(('Lån Översikt'!$C$7/100*'Lån Översikt'!$C$11/100))/12), 0)))
</f>
        <v>5503</v>
      </c>
      <c r="I334" s="8">
        <f t="shared" si="2"/>
        <v>4712</v>
      </c>
      <c r="J334" s="8">
        <f>IF(AND(P334, O334), 0, IF(O334, INT((('Lån Översikt'!$C$5 * 1 / 100) / 12)), INT((('Lån Översikt'!$C$5 * 'Lån Översikt'!$C$15 / 100) / 12))))
</f>
        <v>3125</v>
      </c>
      <c r="K334" s="8">
        <f t="shared" si="3"/>
        <v>4166</v>
      </c>
      <c r="L334" s="8">
        <f t="shared" si="4"/>
        <v>17506</v>
      </c>
      <c r="M334" s="8">
        <f>(L334 + 'Lån Översikt'!$D$50)</f>
        <v>39455</v>
      </c>
      <c r="N334" s="8">
        <f>IF('Lån Översikt'!$D$22 = "JA", 
    IF(Q334 = TRUE, 'Lån Översikt'!$D$24 - M334, 'Lån Översikt'!$D$24 - M334 + 18300), 
    'Lån Översikt'!$D$24 - M334)
</f>
        <v>10345</v>
      </c>
      <c r="O334" s="25" t="b">
        <f t="shared" si="5"/>
        <v>1</v>
      </c>
      <c r="P334" s="26" t="b">
        <f t="shared" si="6"/>
        <v>0</v>
      </c>
      <c r="Q334" s="27" t="b">
        <f t="shared" si="8"/>
        <v>0</v>
      </c>
    </row>
    <row r="335">
      <c r="F335" s="8">
        <v>332.0</v>
      </c>
      <c r="G335" s="11">
        <f t="shared" si="1"/>
        <v>2150000</v>
      </c>
      <c r="H335" s="9">
        <f>INT(IF(AND('Lån Översikt'!$D$7="JA", 'Lån Översikt'!$D$11="JA", 'Lån Översikt'!$D$8="JA"), (G335*(('Lån Översikt'!$C$7/100*'Lån Översikt'!$C$11/100)-'Lån Översikt'!$C$8/100))/12, IF(AND('Lån Översikt'!$D$7="JA", 'Lån Översikt'!$D$11="JA", 'Lån Översikt'!$D$8="NEJ"), (G335*(('Lån Översikt'!$C$7/100*'Lån Översikt'!$C$11/100))/12), 0)))
</f>
        <v>5495</v>
      </c>
      <c r="I335" s="8">
        <f t="shared" si="2"/>
        <v>4712</v>
      </c>
      <c r="J335" s="8">
        <f>IF(AND(P335, O335), 0, IF(O335, INT((('Lån Översikt'!$C$5 * 1 / 100) / 12)), INT((('Lån Översikt'!$C$5 * 'Lån Översikt'!$C$15 / 100) / 12))))
</f>
        <v>3125</v>
      </c>
      <c r="K335" s="8">
        <f t="shared" si="3"/>
        <v>4166</v>
      </c>
      <c r="L335" s="8">
        <f t="shared" si="4"/>
        <v>17498</v>
      </c>
      <c r="M335" s="8">
        <f>(L335 + 'Lån Översikt'!$D$50)</f>
        <v>39447</v>
      </c>
      <c r="N335" s="8">
        <f>IF('Lån Översikt'!$D$22 = "JA", 
    IF(Q335 = TRUE, 'Lån Översikt'!$D$24 - M335, 'Lån Översikt'!$D$24 - M335 + 18300), 
    'Lån Översikt'!$D$24 - M335)
</f>
        <v>10353</v>
      </c>
      <c r="O335" s="25" t="b">
        <f t="shared" si="5"/>
        <v>1</v>
      </c>
      <c r="P335" s="26" t="b">
        <f t="shared" si="6"/>
        <v>0</v>
      </c>
      <c r="Q335" s="27" t="b">
        <f t="shared" si="8"/>
        <v>0</v>
      </c>
    </row>
    <row r="336">
      <c r="F336" s="8">
        <v>333.0</v>
      </c>
      <c r="G336" s="11">
        <f t="shared" si="1"/>
        <v>2146875</v>
      </c>
      <c r="H336" s="9">
        <f>INT(IF(AND('Lån Översikt'!$D$7="JA", 'Lån Översikt'!$D$11="JA", 'Lån Översikt'!$D$8="JA"), (G336*(('Lån Översikt'!$C$7/100*'Lån Översikt'!$C$11/100)-'Lån Översikt'!$C$8/100))/12, IF(AND('Lån Översikt'!$D$7="JA", 'Lån Översikt'!$D$11="JA", 'Lån Översikt'!$D$8="NEJ"), (G336*(('Lån Översikt'!$C$7/100*'Lån Översikt'!$C$11/100))/12), 0)))
</f>
        <v>5487</v>
      </c>
      <c r="I336" s="8">
        <f t="shared" si="2"/>
        <v>4712</v>
      </c>
      <c r="J336" s="8">
        <f>IF(AND(P336, O336), 0, IF(O336, INT((('Lån Översikt'!$C$5 * 1 / 100) / 12)), INT((('Lån Översikt'!$C$5 * 'Lån Översikt'!$C$15 / 100) / 12))))
</f>
        <v>3125</v>
      </c>
      <c r="K336" s="8">
        <f t="shared" si="3"/>
        <v>4166</v>
      </c>
      <c r="L336" s="8">
        <f t="shared" si="4"/>
        <v>17490</v>
      </c>
      <c r="M336" s="8">
        <f>(L336 + 'Lån Översikt'!$D$50)</f>
        <v>39439</v>
      </c>
      <c r="N336" s="8">
        <f>IF('Lån Översikt'!$D$22 = "JA", 
    IF(Q336 = TRUE, 'Lån Översikt'!$D$24 - M336, 'Lån Översikt'!$D$24 - M336 + 18300), 
    'Lån Översikt'!$D$24 - M336)
</f>
        <v>10361</v>
      </c>
      <c r="O336" s="25" t="b">
        <f t="shared" si="5"/>
        <v>1</v>
      </c>
      <c r="P336" s="26" t="b">
        <f t="shared" si="6"/>
        <v>0</v>
      </c>
      <c r="Q336" s="27" t="b">
        <f t="shared" si="8"/>
        <v>0</v>
      </c>
    </row>
    <row r="337">
      <c r="F337" s="8">
        <v>334.0</v>
      </c>
      <c r="G337" s="11">
        <f t="shared" si="1"/>
        <v>2143750</v>
      </c>
      <c r="H337" s="9">
        <f>INT(IF(AND('Lån Översikt'!$D$7="JA", 'Lån Översikt'!$D$11="JA", 'Lån Översikt'!$D$8="JA"), (G337*(('Lån Översikt'!$C$7/100*'Lån Översikt'!$C$11/100)-'Lån Översikt'!$C$8/100))/12, IF(AND('Lån Översikt'!$D$7="JA", 'Lån Översikt'!$D$11="JA", 'Lån Översikt'!$D$8="NEJ"), (G337*(('Lån Översikt'!$C$7/100*'Lån Översikt'!$C$11/100))/12), 0)))
</f>
        <v>5479</v>
      </c>
      <c r="I337" s="8">
        <f t="shared" si="2"/>
        <v>4712</v>
      </c>
      <c r="J337" s="8">
        <f>IF(AND(P337, O337), 0, IF(O337, INT((('Lån Översikt'!$C$5 * 1 / 100) / 12)), INT((('Lån Översikt'!$C$5 * 'Lån Översikt'!$C$15 / 100) / 12))))
</f>
        <v>3125</v>
      </c>
      <c r="K337" s="8">
        <f t="shared" si="3"/>
        <v>4166</v>
      </c>
      <c r="L337" s="8">
        <f t="shared" si="4"/>
        <v>17482</v>
      </c>
      <c r="M337" s="8">
        <f>(L337 + 'Lån Översikt'!$D$50)</f>
        <v>39431</v>
      </c>
      <c r="N337" s="8">
        <f>IF('Lån Översikt'!$D$22 = "JA", 
    IF(Q337 = TRUE, 'Lån Översikt'!$D$24 - M337, 'Lån Översikt'!$D$24 - M337 + 18300), 
    'Lån Översikt'!$D$24 - M337)
</f>
        <v>10369</v>
      </c>
      <c r="O337" s="25" t="b">
        <f t="shared" si="5"/>
        <v>1</v>
      </c>
      <c r="P337" s="26" t="b">
        <f t="shared" si="6"/>
        <v>0</v>
      </c>
      <c r="Q337" s="27" t="b">
        <f t="shared" si="8"/>
        <v>0</v>
      </c>
    </row>
    <row r="338">
      <c r="F338" s="8">
        <v>335.0</v>
      </c>
      <c r="G338" s="11">
        <f t="shared" si="1"/>
        <v>2140625</v>
      </c>
      <c r="H338" s="9">
        <f>INT(IF(AND('Lån Översikt'!$D$7="JA", 'Lån Översikt'!$D$11="JA", 'Lån Översikt'!$D$8="JA"), (G338*(('Lån Översikt'!$C$7/100*'Lån Översikt'!$C$11/100)-'Lån Översikt'!$C$8/100))/12, IF(AND('Lån Översikt'!$D$7="JA", 'Lån Översikt'!$D$11="JA", 'Lån Översikt'!$D$8="NEJ"), (G338*(('Lån Översikt'!$C$7/100*'Lån Översikt'!$C$11/100))/12), 0)))
</f>
        <v>5471</v>
      </c>
      <c r="I338" s="8">
        <f t="shared" si="2"/>
        <v>4712</v>
      </c>
      <c r="J338" s="8">
        <f>IF(AND(P338, O338), 0, IF(O338, INT((('Lån Översikt'!$C$5 * 1 / 100) / 12)), INT((('Lån Översikt'!$C$5 * 'Lån Översikt'!$C$15 / 100) / 12))))
</f>
        <v>3125</v>
      </c>
      <c r="K338" s="8">
        <f t="shared" si="3"/>
        <v>4166</v>
      </c>
      <c r="L338" s="8">
        <f t="shared" si="4"/>
        <v>17474</v>
      </c>
      <c r="M338" s="8">
        <f>(L338 + 'Lån Översikt'!$D$50)</f>
        <v>39423</v>
      </c>
      <c r="N338" s="8">
        <f>IF('Lån Översikt'!$D$22 = "JA", 
    IF(Q338 = TRUE, 'Lån Översikt'!$D$24 - M338, 'Lån Översikt'!$D$24 - M338 + 18300), 
    'Lån Översikt'!$D$24 - M338)
</f>
        <v>10377</v>
      </c>
      <c r="O338" s="25" t="b">
        <f t="shared" si="5"/>
        <v>1</v>
      </c>
      <c r="P338" s="26" t="b">
        <f t="shared" si="6"/>
        <v>0</v>
      </c>
      <c r="Q338" s="27" t="b">
        <f t="shared" si="8"/>
        <v>0</v>
      </c>
    </row>
    <row r="339">
      <c r="F339" s="8">
        <v>336.0</v>
      </c>
      <c r="G339" s="11">
        <f t="shared" si="1"/>
        <v>2137500</v>
      </c>
      <c r="H339" s="9">
        <f>INT(IF(AND('Lån Översikt'!$D$7="JA", 'Lån Översikt'!$D$11="JA", 'Lån Översikt'!$D$8="JA"), (G339*(('Lån Översikt'!$C$7/100*'Lån Översikt'!$C$11/100)-'Lån Översikt'!$C$8/100))/12, IF(AND('Lån Översikt'!$D$7="JA", 'Lån Översikt'!$D$11="JA", 'Lån Översikt'!$D$8="NEJ"), (G339*(('Lån Översikt'!$C$7/100*'Lån Översikt'!$C$11/100))/12), 0)))
</f>
        <v>5463</v>
      </c>
      <c r="I339" s="8">
        <f t="shared" si="2"/>
        <v>4712</v>
      </c>
      <c r="J339" s="8">
        <f>IF(AND(P339, O339), 0, IF(O339, INT((('Lån Översikt'!$C$5 * 1 / 100) / 12)), INT((('Lån Översikt'!$C$5 * 'Lån Översikt'!$C$15 / 100) / 12))))
</f>
        <v>3125</v>
      </c>
      <c r="K339" s="8">
        <f t="shared" si="3"/>
        <v>4166</v>
      </c>
      <c r="L339" s="8">
        <f t="shared" si="4"/>
        <v>17466</v>
      </c>
      <c r="M339" s="8">
        <f>(L339 + 'Lån Översikt'!$D$50)</f>
        <v>39415</v>
      </c>
      <c r="N339" s="8">
        <f>IF('Lån Översikt'!$D$22 = "JA", 
    IF(Q339 = TRUE, 'Lån Översikt'!$D$24 - M339, 'Lån Översikt'!$D$24 - M339 + 18300), 
    'Lån Översikt'!$D$24 - M339)
</f>
        <v>10385</v>
      </c>
      <c r="O339" s="25" t="b">
        <f t="shared" si="5"/>
        <v>1</v>
      </c>
      <c r="P339" s="26" t="b">
        <f t="shared" si="6"/>
        <v>0</v>
      </c>
      <c r="Q339" s="27" t="b">
        <f t="shared" si="8"/>
        <v>0</v>
      </c>
    </row>
    <row r="340">
      <c r="F340" s="8">
        <v>337.0</v>
      </c>
      <c r="G340" s="11">
        <f t="shared" si="1"/>
        <v>2134375</v>
      </c>
      <c r="H340" s="9">
        <f>INT(IF(AND('Lån Översikt'!$D$7="JA", 'Lån Översikt'!$D$11="JA", 'Lån Översikt'!$D$8="JA"), (G340*(('Lån Översikt'!$C$7/100*'Lån Översikt'!$C$11/100)-'Lån Översikt'!$C$8/100))/12, IF(AND('Lån Översikt'!$D$7="JA", 'Lån Översikt'!$D$11="JA", 'Lån Översikt'!$D$8="NEJ"), (G340*(('Lån Översikt'!$C$7/100*'Lån Översikt'!$C$11/100))/12), 0)))
</f>
        <v>5455</v>
      </c>
      <c r="I340" s="8">
        <f t="shared" si="2"/>
        <v>4712</v>
      </c>
      <c r="J340" s="8">
        <f>IF(AND(P340, O340), 0, IF(O340, INT((('Lån Översikt'!$C$5 * 1 / 100) / 12)), INT((('Lån Översikt'!$C$5 * 'Lån Översikt'!$C$15 / 100) / 12))))
</f>
        <v>3125</v>
      </c>
      <c r="K340" s="8">
        <f t="shared" si="3"/>
        <v>4166</v>
      </c>
      <c r="L340" s="8">
        <f t="shared" si="4"/>
        <v>17458</v>
      </c>
      <c r="M340" s="8">
        <f>(L340 + 'Lån Översikt'!$D$50)</f>
        <v>39407</v>
      </c>
      <c r="N340" s="8">
        <f>IF('Lån Översikt'!$D$22 = "JA", 
    IF(Q340 = TRUE, 'Lån Översikt'!$D$24 - M340, 'Lån Översikt'!$D$24 - M340 + 18300), 
    'Lån Översikt'!$D$24 - M340)
</f>
        <v>10393</v>
      </c>
      <c r="O340" s="25" t="b">
        <f t="shared" si="5"/>
        <v>1</v>
      </c>
      <c r="P340" s="26" t="b">
        <f t="shared" si="6"/>
        <v>0</v>
      </c>
      <c r="Q340" s="27" t="b">
        <f t="shared" si="8"/>
        <v>0</v>
      </c>
    </row>
    <row r="341">
      <c r="F341" s="8">
        <v>338.0</v>
      </c>
      <c r="G341" s="11">
        <f t="shared" si="1"/>
        <v>2131250</v>
      </c>
      <c r="H341" s="9">
        <f>INT(IF(AND('Lån Översikt'!$D$7="JA", 'Lån Översikt'!$D$11="JA", 'Lån Översikt'!$D$8="JA"), (G341*(('Lån Översikt'!$C$7/100*'Lån Översikt'!$C$11/100)-'Lån Översikt'!$C$8/100))/12, IF(AND('Lån Översikt'!$D$7="JA", 'Lån Översikt'!$D$11="JA", 'Lån Översikt'!$D$8="NEJ"), (G341*(('Lån Översikt'!$C$7/100*'Lån Översikt'!$C$11/100))/12), 0)))
</f>
        <v>5447</v>
      </c>
      <c r="I341" s="8">
        <f t="shared" si="2"/>
        <v>4712</v>
      </c>
      <c r="J341" s="8">
        <f>IF(AND(P341, O341), 0, IF(O341, INT((('Lån Översikt'!$C$5 * 1 / 100) / 12)), INT((('Lån Översikt'!$C$5 * 'Lån Översikt'!$C$15 / 100) / 12))))
</f>
        <v>3125</v>
      </c>
      <c r="K341" s="8">
        <f t="shared" si="3"/>
        <v>4166</v>
      </c>
      <c r="L341" s="8">
        <f t="shared" si="4"/>
        <v>17450</v>
      </c>
      <c r="M341" s="8">
        <f>(L341 + 'Lån Översikt'!$D$50)</f>
        <v>39399</v>
      </c>
      <c r="N341" s="8">
        <f>IF('Lån Översikt'!$D$22 = "JA", 
    IF(Q341 = TRUE, 'Lån Översikt'!$D$24 - M341, 'Lån Översikt'!$D$24 - M341 + 18300), 
    'Lån Översikt'!$D$24 - M341)
</f>
        <v>10401</v>
      </c>
      <c r="O341" s="25" t="b">
        <f t="shared" si="5"/>
        <v>1</v>
      </c>
      <c r="P341" s="26" t="b">
        <f t="shared" si="6"/>
        <v>0</v>
      </c>
      <c r="Q341" s="27" t="b">
        <f t="shared" si="8"/>
        <v>0</v>
      </c>
    </row>
    <row r="342">
      <c r="F342" s="8">
        <v>339.0</v>
      </c>
      <c r="G342" s="11">
        <f t="shared" si="1"/>
        <v>2128125</v>
      </c>
      <c r="H342" s="9">
        <f>INT(IF(AND('Lån Översikt'!$D$7="JA", 'Lån Översikt'!$D$11="JA", 'Lån Översikt'!$D$8="JA"), (G342*(('Lån Översikt'!$C$7/100*'Lån Översikt'!$C$11/100)-'Lån Översikt'!$C$8/100))/12, IF(AND('Lån Översikt'!$D$7="JA", 'Lån Översikt'!$D$11="JA", 'Lån Översikt'!$D$8="NEJ"), (G342*(('Lån Översikt'!$C$7/100*'Lån Översikt'!$C$11/100))/12), 0)))
</f>
        <v>5439</v>
      </c>
      <c r="I342" s="8">
        <f t="shared" si="2"/>
        <v>4712</v>
      </c>
      <c r="J342" s="8">
        <f>IF(AND(P342, O342), 0, IF(O342, INT((('Lån Översikt'!$C$5 * 1 / 100) / 12)), INT((('Lån Översikt'!$C$5 * 'Lån Översikt'!$C$15 / 100) / 12))))
</f>
        <v>3125</v>
      </c>
      <c r="K342" s="8">
        <f t="shared" si="3"/>
        <v>4166</v>
      </c>
      <c r="L342" s="8">
        <f t="shared" si="4"/>
        <v>17442</v>
      </c>
      <c r="M342" s="8">
        <f>(L342 + 'Lån Översikt'!$D$50)</f>
        <v>39391</v>
      </c>
      <c r="N342" s="8">
        <f>IF('Lån Översikt'!$D$22 = "JA", 
    IF(Q342 = TRUE, 'Lån Översikt'!$D$24 - M342, 'Lån Översikt'!$D$24 - M342 + 18300), 
    'Lån Översikt'!$D$24 - M342)
</f>
        <v>10409</v>
      </c>
      <c r="O342" s="25" t="b">
        <f t="shared" si="5"/>
        <v>1</v>
      </c>
      <c r="P342" s="26" t="b">
        <f t="shared" si="6"/>
        <v>0</v>
      </c>
      <c r="Q342" s="27" t="b">
        <f t="shared" si="8"/>
        <v>0</v>
      </c>
    </row>
    <row r="343">
      <c r="F343" s="8">
        <v>340.0</v>
      </c>
      <c r="G343" s="11">
        <f t="shared" si="1"/>
        <v>2125000</v>
      </c>
      <c r="H343" s="9">
        <f>INT(IF(AND('Lån Översikt'!$D$7="JA", 'Lån Översikt'!$D$11="JA", 'Lån Översikt'!$D$8="JA"), (G343*(('Lån Översikt'!$C$7/100*'Lån Översikt'!$C$11/100)-'Lån Översikt'!$C$8/100))/12, IF(AND('Lån Översikt'!$D$7="JA", 'Lån Översikt'!$D$11="JA", 'Lån Översikt'!$D$8="NEJ"), (G343*(('Lån Översikt'!$C$7/100*'Lån Översikt'!$C$11/100))/12), 0)))
</f>
        <v>5431</v>
      </c>
      <c r="I343" s="8">
        <f t="shared" si="2"/>
        <v>4712</v>
      </c>
      <c r="J343" s="8">
        <f>IF(AND(P343, O343), 0, IF(O343, INT((('Lån Översikt'!$C$5 * 1 / 100) / 12)), INT((('Lån Översikt'!$C$5 * 'Lån Översikt'!$C$15 / 100) / 12))))
</f>
        <v>3125</v>
      </c>
      <c r="K343" s="8">
        <f t="shared" si="3"/>
        <v>4166</v>
      </c>
      <c r="L343" s="8">
        <f t="shared" si="4"/>
        <v>17434</v>
      </c>
      <c r="M343" s="8">
        <f>(L343 + 'Lån Översikt'!$D$50)</f>
        <v>39383</v>
      </c>
      <c r="N343" s="8">
        <f>IF('Lån Översikt'!$D$22 = "JA", 
    IF(Q343 = TRUE, 'Lån Översikt'!$D$24 - M343, 'Lån Översikt'!$D$24 - M343 + 18300), 
    'Lån Översikt'!$D$24 - M343)
</f>
        <v>10417</v>
      </c>
      <c r="O343" s="25" t="b">
        <f t="shared" si="5"/>
        <v>1</v>
      </c>
      <c r="P343" s="26" t="b">
        <f t="shared" si="6"/>
        <v>0</v>
      </c>
      <c r="Q343" s="27" t="b">
        <f t="shared" si="8"/>
        <v>0</v>
      </c>
    </row>
    <row r="344">
      <c r="F344" s="8">
        <v>341.0</v>
      </c>
      <c r="G344" s="11">
        <f t="shared" si="1"/>
        <v>2121875</v>
      </c>
      <c r="H344" s="9">
        <f>INT(IF(AND('Lån Översikt'!$D$7="JA", 'Lån Översikt'!$D$11="JA", 'Lån Översikt'!$D$8="JA"), (G344*(('Lån Översikt'!$C$7/100*'Lån Översikt'!$C$11/100)-'Lån Översikt'!$C$8/100))/12, IF(AND('Lån Översikt'!$D$7="JA", 'Lån Översikt'!$D$11="JA", 'Lån Översikt'!$D$8="NEJ"), (G344*(('Lån Översikt'!$C$7/100*'Lån Översikt'!$C$11/100))/12), 0)))
</f>
        <v>5423</v>
      </c>
      <c r="I344" s="8">
        <f t="shared" si="2"/>
        <v>4712</v>
      </c>
      <c r="J344" s="8">
        <f>IF(AND(P344, O344), 0, IF(O344, INT((('Lån Översikt'!$C$5 * 1 / 100) / 12)), INT((('Lån Översikt'!$C$5 * 'Lån Översikt'!$C$15 / 100) / 12))))
</f>
        <v>3125</v>
      </c>
      <c r="K344" s="8">
        <f t="shared" si="3"/>
        <v>4166</v>
      </c>
      <c r="L344" s="8">
        <f t="shared" si="4"/>
        <v>17426</v>
      </c>
      <c r="M344" s="8">
        <f>(L344 + 'Lån Översikt'!$D$50)</f>
        <v>39375</v>
      </c>
      <c r="N344" s="8">
        <f>IF('Lån Översikt'!$D$22 = "JA", 
    IF(Q344 = TRUE, 'Lån Översikt'!$D$24 - M344, 'Lån Översikt'!$D$24 - M344 + 18300), 
    'Lån Översikt'!$D$24 - M344)
</f>
        <v>10425</v>
      </c>
      <c r="O344" s="25" t="b">
        <f t="shared" si="5"/>
        <v>1</v>
      </c>
      <c r="P344" s="26" t="b">
        <f t="shared" si="6"/>
        <v>0</v>
      </c>
      <c r="Q344" s="27" t="b">
        <f t="shared" si="8"/>
        <v>0</v>
      </c>
    </row>
    <row r="345">
      <c r="F345" s="8">
        <v>342.0</v>
      </c>
      <c r="G345" s="11">
        <f t="shared" si="1"/>
        <v>2118750</v>
      </c>
      <c r="H345" s="9">
        <f>INT(IF(AND('Lån Översikt'!$D$7="JA", 'Lån Översikt'!$D$11="JA", 'Lån Översikt'!$D$8="JA"), (G345*(('Lån Översikt'!$C$7/100*'Lån Översikt'!$C$11/100)-'Lån Översikt'!$C$8/100))/12, IF(AND('Lån Översikt'!$D$7="JA", 'Lån Översikt'!$D$11="JA", 'Lån Översikt'!$D$8="NEJ"), (G345*(('Lån Översikt'!$C$7/100*'Lån Översikt'!$C$11/100))/12), 0)))
</f>
        <v>5415</v>
      </c>
      <c r="I345" s="8">
        <f t="shared" si="2"/>
        <v>4712</v>
      </c>
      <c r="J345" s="8">
        <f>IF(AND(P345, O345), 0, IF(O345, INT((('Lån Översikt'!$C$5 * 1 / 100) / 12)), INT((('Lån Översikt'!$C$5 * 'Lån Översikt'!$C$15 / 100) / 12))))
</f>
        <v>3125</v>
      </c>
      <c r="K345" s="8">
        <f t="shared" si="3"/>
        <v>4166</v>
      </c>
      <c r="L345" s="8">
        <f t="shared" si="4"/>
        <v>17418</v>
      </c>
      <c r="M345" s="8">
        <f>(L345 + 'Lån Översikt'!$D$50)</f>
        <v>39367</v>
      </c>
      <c r="N345" s="8">
        <f>IF('Lån Översikt'!$D$22 = "JA", 
    IF(Q345 = TRUE, 'Lån Översikt'!$D$24 - M345, 'Lån Översikt'!$D$24 - M345 + 18300), 
    'Lån Översikt'!$D$24 - M345)
</f>
        <v>10433</v>
      </c>
      <c r="O345" s="25" t="b">
        <f t="shared" si="5"/>
        <v>1</v>
      </c>
      <c r="P345" s="26" t="b">
        <f t="shared" si="6"/>
        <v>0</v>
      </c>
      <c r="Q345" s="27" t="b">
        <f t="shared" si="8"/>
        <v>0</v>
      </c>
    </row>
    <row r="346">
      <c r="F346" s="8">
        <v>343.0</v>
      </c>
      <c r="G346" s="11">
        <f t="shared" si="1"/>
        <v>2115625</v>
      </c>
      <c r="H346" s="9">
        <f>INT(IF(AND('Lån Översikt'!$D$7="JA", 'Lån Översikt'!$D$11="JA", 'Lån Översikt'!$D$8="JA"), (G346*(('Lån Översikt'!$C$7/100*'Lån Översikt'!$C$11/100)-'Lån Översikt'!$C$8/100))/12, IF(AND('Lån Översikt'!$D$7="JA", 'Lån Översikt'!$D$11="JA", 'Lån Översikt'!$D$8="NEJ"), (G346*(('Lån Översikt'!$C$7/100*'Lån Översikt'!$C$11/100))/12), 0)))
</f>
        <v>5407</v>
      </c>
      <c r="I346" s="8">
        <f t="shared" si="2"/>
        <v>4712</v>
      </c>
      <c r="J346" s="8">
        <f>IF(AND(P346, O346), 0, IF(O346, INT((('Lån Översikt'!$C$5 * 1 / 100) / 12)), INT((('Lån Översikt'!$C$5 * 'Lån Översikt'!$C$15 / 100) / 12))))
</f>
        <v>3125</v>
      </c>
      <c r="K346" s="8">
        <f t="shared" si="3"/>
        <v>4166</v>
      </c>
      <c r="L346" s="8">
        <f t="shared" si="4"/>
        <v>17410</v>
      </c>
      <c r="M346" s="8">
        <f>(L346 + 'Lån Översikt'!$D$50)</f>
        <v>39359</v>
      </c>
      <c r="N346" s="8">
        <f>IF('Lån Översikt'!$D$22 = "JA", 
    IF(Q346 = TRUE, 'Lån Översikt'!$D$24 - M346, 'Lån Översikt'!$D$24 - M346 + 18300), 
    'Lån Översikt'!$D$24 - M346)
</f>
        <v>10441</v>
      </c>
      <c r="O346" s="25" t="b">
        <f t="shared" si="5"/>
        <v>1</v>
      </c>
      <c r="P346" s="26" t="b">
        <f t="shared" si="6"/>
        <v>0</v>
      </c>
      <c r="Q346" s="27" t="b">
        <f t="shared" si="8"/>
        <v>0</v>
      </c>
    </row>
    <row r="347">
      <c r="F347" s="8">
        <v>344.0</v>
      </c>
      <c r="G347" s="11">
        <f t="shared" si="1"/>
        <v>2112500</v>
      </c>
      <c r="H347" s="9">
        <f>INT(IF(AND('Lån Översikt'!$D$7="JA", 'Lån Översikt'!$D$11="JA", 'Lån Översikt'!$D$8="JA"), (G347*(('Lån Översikt'!$C$7/100*'Lån Översikt'!$C$11/100)-'Lån Översikt'!$C$8/100))/12, IF(AND('Lån Översikt'!$D$7="JA", 'Lån Översikt'!$D$11="JA", 'Lån Översikt'!$D$8="NEJ"), (G347*(('Lån Översikt'!$C$7/100*'Lån Översikt'!$C$11/100))/12), 0)))
</f>
        <v>5399</v>
      </c>
      <c r="I347" s="8">
        <f t="shared" si="2"/>
        <v>4712</v>
      </c>
      <c r="J347" s="8">
        <f>IF(AND(P347, O347), 0, IF(O347, INT((('Lån Översikt'!$C$5 * 1 / 100) / 12)), INT((('Lån Översikt'!$C$5 * 'Lån Översikt'!$C$15 / 100) / 12))))
</f>
        <v>3125</v>
      </c>
      <c r="K347" s="8">
        <f t="shared" si="3"/>
        <v>4166</v>
      </c>
      <c r="L347" s="8">
        <f t="shared" si="4"/>
        <v>17402</v>
      </c>
      <c r="M347" s="8">
        <f>(L347 + 'Lån Översikt'!$D$50)</f>
        <v>39351</v>
      </c>
      <c r="N347" s="8">
        <f>IF('Lån Översikt'!$D$22 = "JA", 
    IF(Q347 = TRUE, 'Lån Översikt'!$D$24 - M347, 'Lån Översikt'!$D$24 - M347 + 18300), 
    'Lån Översikt'!$D$24 - M347)
</f>
        <v>10449</v>
      </c>
      <c r="O347" s="25" t="b">
        <f t="shared" si="5"/>
        <v>1</v>
      </c>
      <c r="P347" s="26" t="b">
        <f t="shared" si="6"/>
        <v>0</v>
      </c>
      <c r="Q347" s="27" t="b">
        <f t="shared" si="8"/>
        <v>0</v>
      </c>
    </row>
    <row r="348">
      <c r="F348" s="8">
        <v>345.0</v>
      </c>
      <c r="G348" s="11">
        <f t="shared" si="1"/>
        <v>2109375</v>
      </c>
      <c r="H348" s="9">
        <f>INT(IF(AND('Lån Översikt'!$D$7="JA", 'Lån Översikt'!$D$11="JA", 'Lån Översikt'!$D$8="JA"), (G348*(('Lån Översikt'!$C$7/100*'Lån Översikt'!$C$11/100)-'Lån Översikt'!$C$8/100))/12, IF(AND('Lån Översikt'!$D$7="JA", 'Lån Översikt'!$D$11="JA", 'Lån Översikt'!$D$8="NEJ"), (G348*(('Lån Översikt'!$C$7/100*'Lån Översikt'!$C$11/100))/12), 0)))
</f>
        <v>5391</v>
      </c>
      <c r="I348" s="8">
        <f t="shared" si="2"/>
        <v>4712</v>
      </c>
      <c r="J348" s="8">
        <f>IF(AND(P348, O348), 0, IF(O348, INT((('Lån Översikt'!$C$5 * 1 / 100) / 12)), INT((('Lån Översikt'!$C$5 * 'Lån Översikt'!$C$15 / 100) / 12))))
</f>
        <v>3125</v>
      </c>
      <c r="K348" s="8">
        <f t="shared" si="3"/>
        <v>4166</v>
      </c>
      <c r="L348" s="8">
        <f t="shared" si="4"/>
        <v>17394</v>
      </c>
      <c r="M348" s="8">
        <f>(L348 + 'Lån Översikt'!$D$50)</f>
        <v>39343</v>
      </c>
      <c r="N348" s="8">
        <f>IF('Lån Översikt'!$D$22 = "JA", 
    IF(Q348 = TRUE, 'Lån Översikt'!$D$24 - M348, 'Lån Översikt'!$D$24 - M348 + 18300), 
    'Lån Översikt'!$D$24 - M348)
</f>
        <v>10457</v>
      </c>
      <c r="O348" s="25" t="b">
        <f t="shared" si="5"/>
        <v>1</v>
      </c>
      <c r="P348" s="26" t="b">
        <f t="shared" si="6"/>
        <v>0</v>
      </c>
      <c r="Q348" s="27" t="b">
        <f t="shared" si="8"/>
        <v>0</v>
      </c>
    </row>
    <row r="349">
      <c r="F349" s="8">
        <v>346.0</v>
      </c>
      <c r="G349" s="11">
        <f t="shared" si="1"/>
        <v>2106250</v>
      </c>
      <c r="H349" s="9">
        <f>INT(IF(AND('Lån Översikt'!$D$7="JA", 'Lån Översikt'!$D$11="JA", 'Lån Översikt'!$D$8="JA"), (G349*(('Lån Översikt'!$C$7/100*'Lån Översikt'!$C$11/100)-'Lån Översikt'!$C$8/100))/12, IF(AND('Lån Översikt'!$D$7="JA", 'Lån Översikt'!$D$11="JA", 'Lån Översikt'!$D$8="NEJ"), (G349*(('Lån Översikt'!$C$7/100*'Lån Översikt'!$C$11/100))/12), 0)))
</f>
        <v>5383</v>
      </c>
      <c r="I349" s="8">
        <f t="shared" si="2"/>
        <v>4712</v>
      </c>
      <c r="J349" s="8">
        <f>IF(AND(P349, O349), 0, IF(O349, INT((('Lån Översikt'!$C$5 * 1 / 100) / 12)), INT((('Lån Översikt'!$C$5 * 'Lån Översikt'!$C$15 / 100) / 12))))
</f>
        <v>3125</v>
      </c>
      <c r="K349" s="8">
        <f t="shared" si="3"/>
        <v>4166</v>
      </c>
      <c r="L349" s="8">
        <f t="shared" si="4"/>
        <v>17386</v>
      </c>
      <c r="M349" s="8">
        <f>(L349 + 'Lån Översikt'!$D$50)</f>
        <v>39335</v>
      </c>
      <c r="N349" s="8">
        <f>IF('Lån Översikt'!$D$22 = "JA", 
    IF(Q349 = TRUE, 'Lån Översikt'!$D$24 - M349, 'Lån Översikt'!$D$24 - M349 + 18300), 
    'Lån Översikt'!$D$24 - M349)
</f>
        <v>10465</v>
      </c>
      <c r="O349" s="25" t="b">
        <f t="shared" si="5"/>
        <v>1</v>
      </c>
      <c r="P349" s="26" t="b">
        <f t="shared" si="6"/>
        <v>0</v>
      </c>
      <c r="Q349" s="27" t="b">
        <f t="shared" si="8"/>
        <v>0</v>
      </c>
    </row>
    <row r="350">
      <c r="F350" s="8">
        <v>347.0</v>
      </c>
      <c r="G350" s="11">
        <f t="shared" si="1"/>
        <v>2103125</v>
      </c>
      <c r="H350" s="9">
        <f>INT(IF(AND('Lån Översikt'!$D$7="JA", 'Lån Översikt'!$D$11="JA", 'Lån Översikt'!$D$8="JA"), (G350*(('Lån Översikt'!$C$7/100*'Lån Översikt'!$C$11/100)-'Lån Översikt'!$C$8/100))/12, IF(AND('Lån Översikt'!$D$7="JA", 'Lån Översikt'!$D$11="JA", 'Lån Översikt'!$D$8="NEJ"), (G350*(('Lån Översikt'!$C$7/100*'Lån Översikt'!$C$11/100))/12), 0)))
</f>
        <v>5375</v>
      </c>
      <c r="I350" s="8">
        <f t="shared" si="2"/>
        <v>4712</v>
      </c>
      <c r="J350" s="8">
        <f>IF(AND(P350, O350), 0, IF(O350, INT((('Lån Översikt'!$C$5 * 1 / 100) / 12)), INT((('Lån Översikt'!$C$5 * 'Lån Översikt'!$C$15 / 100) / 12))))
</f>
        <v>3125</v>
      </c>
      <c r="K350" s="8">
        <f t="shared" si="3"/>
        <v>4166</v>
      </c>
      <c r="L350" s="8">
        <f t="shared" si="4"/>
        <v>17378</v>
      </c>
      <c r="M350" s="8">
        <f>(L350 + 'Lån Översikt'!$D$50)</f>
        <v>39327</v>
      </c>
      <c r="N350" s="8">
        <f>IF('Lån Översikt'!$D$22 = "JA", 
    IF(Q350 = TRUE, 'Lån Översikt'!$D$24 - M350, 'Lån Översikt'!$D$24 - M350 + 18300), 
    'Lån Översikt'!$D$24 - M350)
</f>
        <v>10473</v>
      </c>
      <c r="O350" s="25" t="b">
        <f t="shared" si="5"/>
        <v>1</v>
      </c>
      <c r="P350" s="26" t="b">
        <f t="shared" si="6"/>
        <v>0</v>
      </c>
      <c r="Q350" s="27" t="b">
        <f t="shared" si="8"/>
        <v>0</v>
      </c>
    </row>
    <row r="351">
      <c r="F351" s="8">
        <v>348.0</v>
      </c>
      <c r="G351" s="11">
        <f t="shared" si="1"/>
        <v>2100000</v>
      </c>
      <c r="H351" s="9">
        <f>INT(IF(AND('Lån Översikt'!$D$7="JA", 'Lån Översikt'!$D$11="JA", 'Lån Översikt'!$D$8="JA"), (G351*(('Lån Översikt'!$C$7/100*'Lån Översikt'!$C$11/100)-'Lån Översikt'!$C$8/100))/12, IF(AND('Lån Översikt'!$D$7="JA", 'Lån Översikt'!$D$11="JA", 'Lån Översikt'!$D$8="NEJ"), (G351*(('Lån Översikt'!$C$7/100*'Lån Översikt'!$C$11/100))/12), 0)))
</f>
        <v>5367</v>
      </c>
      <c r="I351" s="8">
        <f t="shared" si="2"/>
        <v>4712</v>
      </c>
      <c r="J351" s="8">
        <f>IF(AND(P351, O351), 0, IF(O351, INT((('Lån Översikt'!$C$5 * 1 / 100) / 12)), INT((('Lån Översikt'!$C$5 * 'Lån Översikt'!$C$15 / 100) / 12))))
</f>
        <v>3125</v>
      </c>
      <c r="K351" s="8">
        <f t="shared" si="3"/>
        <v>4166</v>
      </c>
      <c r="L351" s="8">
        <f t="shared" si="4"/>
        <v>17370</v>
      </c>
      <c r="M351" s="8">
        <f>(L351 + 'Lån Översikt'!$D$50)</f>
        <v>39319</v>
      </c>
      <c r="N351" s="8">
        <f>IF('Lån Översikt'!$D$22 = "JA", 
    IF(Q351 = TRUE, 'Lån Översikt'!$D$24 - M351, 'Lån Översikt'!$D$24 - M351 + 18300), 
    'Lån Översikt'!$D$24 - M351)
</f>
        <v>10481</v>
      </c>
      <c r="O351" s="25" t="b">
        <f t="shared" si="5"/>
        <v>1</v>
      </c>
      <c r="P351" s="26" t="b">
        <f t="shared" si="6"/>
        <v>0</v>
      </c>
      <c r="Q351" s="27" t="b">
        <f t="shared" si="8"/>
        <v>0</v>
      </c>
    </row>
    <row r="352">
      <c r="F352" s="8">
        <v>349.0</v>
      </c>
      <c r="G352" s="11">
        <f t="shared" si="1"/>
        <v>2096875</v>
      </c>
      <c r="H352" s="9">
        <f>INT(IF(AND('Lån Översikt'!$D$7="JA", 'Lån Översikt'!$D$11="JA", 'Lån Översikt'!$D$8="JA"), (G352*(('Lån Översikt'!$C$7/100*'Lån Översikt'!$C$11/100)-'Lån Översikt'!$C$8/100))/12, IF(AND('Lån Översikt'!$D$7="JA", 'Lån Översikt'!$D$11="JA", 'Lån Översikt'!$D$8="NEJ"), (G352*(('Lån Översikt'!$C$7/100*'Lån Översikt'!$C$11/100))/12), 0)))
</f>
        <v>5359</v>
      </c>
      <c r="I352" s="8">
        <f t="shared" si="2"/>
        <v>4712</v>
      </c>
      <c r="J352" s="8">
        <f>IF(AND(P352, O352), 0, IF(O352, INT((('Lån Översikt'!$C$5 * 1 / 100) / 12)), INT((('Lån Översikt'!$C$5 * 'Lån Översikt'!$C$15 / 100) / 12))))
</f>
        <v>3125</v>
      </c>
      <c r="K352" s="8">
        <f t="shared" si="3"/>
        <v>4166</v>
      </c>
      <c r="L352" s="8">
        <f t="shared" si="4"/>
        <v>17362</v>
      </c>
      <c r="M352" s="8">
        <f>(L352 + 'Lån Översikt'!$D$50)</f>
        <v>39311</v>
      </c>
      <c r="N352" s="8">
        <f>IF('Lån Översikt'!$D$22 = "JA", 
    IF(Q352 = TRUE, 'Lån Översikt'!$D$24 - M352, 'Lån Översikt'!$D$24 - M352 + 18300), 
    'Lån Översikt'!$D$24 - M352)
</f>
        <v>10489</v>
      </c>
      <c r="O352" s="25" t="b">
        <f t="shared" si="5"/>
        <v>1</v>
      </c>
      <c r="P352" s="26" t="b">
        <f t="shared" si="6"/>
        <v>0</v>
      </c>
      <c r="Q352" s="27" t="b">
        <f t="shared" si="8"/>
        <v>0</v>
      </c>
    </row>
    <row r="353">
      <c r="F353" s="8">
        <v>350.0</v>
      </c>
      <c r="G353" s="11">
        <f t="shared" si="1"/>
        <v>2093750</v>
      </c>
      <c r="H353" s="9">
        <f>INT(IF(AND('Lån Översikt'!$D$7="JA", 'Lån Översikt'!$D$11="JA", 'Lån Översikt'!$D$8="JA"), (G353*(('Lån Översikt'!$C$7/100*'Lån Översikt'!$C$11/100)-'Lån Översikt'!$C$8/100))/12, IF(AND('Lån Översikt'!$D$7="JA", 'Lån Översikt'!$D$11="JA", 'Lån Översikt'!$D$8="NEJ"), (G353*(('Lån Översikt'!$C$7/100*'Lån Översikt'!$C$11/100))/12), 0)))
</f>
        <v>5351</v>
      </c>
      <c r="I353" s="8">
        <f t="shared" si="2"/>
        <v>4712</v>
      </c>
      <c r="J353" s="8">
        <f>IF(AND(P353, O353), 0, IF(O353, INT((('Lån Översikt'!$C$5 * 1 / 100) / 12)), INT((('Lån Översikt'!$C$5 * 'Lån Översikt'!$C$15 / 100) / 12))))
</f>
        <v>3125</v>
      </c>
      <c r="K353" s="8">
        <f t="shared" si="3"/>
        <v>4166</v>
      </c>
      <c r="L353" s="8">
        <f t="shared" si="4"/>
        <v>17354</v>
      </c>
      <c r="M353" s="8">
        <f>(L353 + 'Lån Översikt'!$D$50)</f>
        <v>39303</v>
      </c>
      <c r="N353" s="8">
        <f>IF('Lån Översikt'!$D$22 = "JA", 
    IF(Q353 = TRUE, 'Lån Översikt'!$D$24 - M353, 'Lån Översikt'!$D$24 - M353 + 18300), 
    'Lån Översikt'!$D$24 - M353)
</f>
        <v>10497</v>
      </c>
      <c r="O353" s="25" t="b">
        <f t="shared" si="5"/>
        <v>1</v>
      </c>
      <c r="P353" s="26" t="b">
        <f t="shared" si="6"/>
        <v>0</v>
      </c>
      <c r="Q353" s="27" t="b">
        <f t="shared" si="8"/>
        <v>0</v>
      </c>
    </row>
    <row r="354">
      <c r="F354" s="8">
        <v>351.0</v>
      </c>
      <c r="G354" s="11">
        <f t="shared" si="1"/>
        <v>2090625</v>
      </c>
      <c r="H354" s="9">
        <f>INT(IF(AND('Lån Översikt'!$D$7="JA", 'Lån Översikt'!$D$11="JA", 'Lån Översikt'!$D$8="JA"), (G354*(('Lån Översikt'!$C$7/100*'Lån Översikt'!$C$11/100)-'Lån Översikt'!$C$8/100))/12, IF(AND('Lån Översikt'!$D$7="JA", 'Lån Översikt'!$D$11="JA", 'Lån Översikt'!$D$8="NEJ"), (G354*(('Lån Översikt'!$C$7/100*'Lån Översikt'!$C$11/100))/12), 0)))
</f>
        <v>5343</v>
      </c>
      <c r="I354" s="8">
        <f t="shared" si="2"/>
        <v>4712</v>
      </c>
      <c r="J354" s="8">
        <f>IF(AND(P354, O354), 0, IF(O354, INT((('Lån Översikt'!$C$5 * 1 / 100) / 12)), INT((('Lån Översikt'!$C$5 * 'Lån Översikt'!$C$15 / 100) / 12))))
</f>
        <v>3125</v>
      </c>
      <c r="K354" s="8">
        <f t="shared" si="3"/>
        <v>4166</v>
      </c>
      <c r="L354" s="8">
        <f t="shared" si="4"/>
        <v>17346</v>
      </c>
      <c r="M354" s="8">
        <f>(L354 + 'Lån Översikt'!$D$50)</f>
        <v>39295</v>
      </c>
      <c r="N354" s="8">
        <f>IF('Lån Översikt'!$D$22 = "JA", 
    IF(Q354 = TRUE, 'Lån Översikt'!$D$24 - M354, 'Lån Översikt'!$D$24 - M354 + 18300), 
    'Lån Översikt'!$D$24 - M354)
</f>
        <v>10505</v>
      </c>
      <c r="O354" s="25" t="b">
        <f t="shared" si="5"/>
        <v>1</v>
      </c>
      <c r="P354" s="26" t="b">
        <f t="shared" si="6"/>
        <v>0</v>
      </c>
      <c r="Q354" s="27" t="b">
        <f t="shared" si="8"/>
        <v>0</v>
      </c>
    </row>
    <row r="355">
      <c r="F355" s="8">
        <v>352.0</v>
      </c>
      <c r="G355" s="11">
        <f t="shared" si="1"/>
        <v>2087500</v>
      </c>
      <c r="H355" s="9">
        <f>INT(IF(AND('Lån Översikt'!$D$7="JA", 'Lån Översikt'!$D$11="JA", 'Lån Översikt'!$D$8="JA"), (G355*(('Lån Översikt'!$C$7/100*'Lån Översikt'!$C$11/100)-'Lån Översikt'!$C$8/100))/12, IF(AND('Lån Översikt'!$D$7="JA", 'Lån Översikt'!$D$11="JA", 'Lån Översikt'!$D$8="NEJ"), (G355*(('Lån Översikt'!$C$7/100*'Lån Översikt'!$C$11/100))/12), 0)))
</f>
        <v>5335</v>
      </c>
      <c r="I355" s="8">
        <f t="shared" si="2"/>
        <v>4712</v>
      </c>
      <c r="J355" s="8">
        <f>IF(AND(P355, O355), 0, IF(O355, INT((('Lån Översikt'!$C$5 * 1 / 100) / 12)), INT((('Lån Översikt'!$C$5 * 'Lån Översikt'!$C$15 / 100) / 12))))
</f>
        <v>3125</v>
      </c>
      <c r="K355" s="8">
        <f t="shared" si="3"/>
        <v>4166</v>
      </c>
      <c r="L355" s="8">
        <f t="shared" si="4"/>
        <v>17338</v>
      </c>
      <c r="M355" s="8">
        <f>(L355 + 'Lån Översikt'!$D$50)</f>
        <v>39287</v>
      </c>
      <c r="N355" s="8">
        <f>IF('Lån Översikt'!$D$22 = "JA", 
    IF(Q355 = TRUE, 'Lån Översikt'!$D$24 - M355, 'Lån Översikt'!$D$24 - M355 + 18300), 
    'Lån Översikt'!$D$24 - M355)
</f>
        <v>10513</v>
      </c>
      <c r="O355" s="25" t="b">
        <f t="shared" si="5"/>
        <v>1</v>
      </c>
      <c r="P355" s="26" t="b">
        <f t="shared" si="6"/>
        <v>0</v>
      </c>
      <c r="Q355" s="27" t="b">
        <f t="shared" si="8"/>
        <v>0</v>
      </c>
    </row>
    <row r="356">
      <c r="F356" s="8">
        <v>353.0</v>
      </c>
      <c r="G356" s="11">
        <f t="shared" si="1"/>
        <v>2084375</v>
      </c>
      <c r="H356" s="9">
        <f>INT(IF(AND('Lån Översikt'!$D$7="JA", 'Lån Översikt'!$D$11="JA", 'Lån Översikt'!$D$8="JA"), (G356*(('Lån Översikt'!$C$7/100*'Lån Översikt'!$C$11/100)-'Lån Översikt'!$C$8/100))/12, IF(AND('Lån Översikt'!$D$7="JA", 'Lån Översikt'!$D$11="JA", 'Lån Översikt'!$D$8="NEJ"), (G356*(('Lån Översikt'!$C$7/100*'Lån Översikt'!$C$11/100))/12), 0)))
</f>
        <v>5327</v>
      </c>
      <c r="I356" s="8">
        <f t="shared" si="2"/>
        <v>4712</v>
      </c>
      <c r="J356" s="8">
        <f>IF(AND(P356, O356), 0, IF(O356, INT((('Lån Översikt'!$C$5 * 1 / 100) / 12)), INT((('Lån Översikt'!$C$5 * 'Lån Översikt'!$C$15 / 100) / 12))))
</f>
        <v>3125</v>
      </c>
      <c r="K356" s="8">
        <f t="shared" si="3"/>
        <v>4166</v>
      </c>
      <c r="L356" s="8">
        <f t="shared" si="4"/>
        <v>17330</v>
      </c>
      <c r="M356" s="8">
        <f>(L356 + 'Lån Översikt'!$D$50)</f>
        <v>39279</v>
      </c>
      <c r="N356" s="8">
        <f>IF('Lån Översikt'!$D$22 = "JA", 
    IF(Q356 = TRUE, 'Lån Översikt'!$D$24 - M356, 'Lån Översikt'!$D$24 - M356 + 18300), 
    'Lån Översikt'!$D$24 - M356)
</f>
        <v>10521</v>
      </c>
      <c r="O356" s="25" t="b">
        <f t="shared" si="5"/>
        <v>1</v>
      </c>
      <c r="P356" s="26" t="b">
        <f t="shared" si="6"/>
        <v>0</v>
      </c>
      <c r="Q356" s="27" t="b">
        <f t="shared" si="8"/>
        <v>0</v>
      </c>
    </row>
    <row r="357">
      <c r="F357" s="8">
        <v>354.0</v>
      </c>
      <c r="G357" s="11">
        <f t="shared" si="1"/>
        <v>2081250</v>
      </c>
      <c r="H357" s="9">
        <f>INT(IF(AND('Lån Översikt'!$D$7="JA", 'Lån Översikt'!$D$11="JA", 'Lån Översikt'!$D$8="JA"), (G357*(('Lån Översikt'!$C$7/100*'Lån Översikt'!$C$11/100)-'Lån Översikt'!$C$8/100))/12, IF(AND('Lån Översikt'!$D$7="JA", 'Lån Översikt'!$D$11="JA", 'Lån Översikt'!$D$8="NEJ"), (G357*(('Lån Översikt'!$C$7/100*'Lån Översikt'!$C$11/100))/12), 0)))
</f>
        <v>5319</v>
      </c>
      <c r="I357" s="8">
        <f t="shared" si="2"/>
        <v>4712</v>
      </c>
      <c r="J357" s="8">
        <f>IF(AND(P357, O357), 0, IF(O357, INT((('Lån Översikt'!$C$5 * 1 / 100) / 12)), INT((('Lån Översikt'!$C$5 * 'Lån Översikt'!$C$15 / 100) / 12))))
</f>
        <v>3125</v>
      </c>
      <c r="K357" s="8">
        <f t="shared" si="3"/>
        <v>4166</v>
      </c>
      <c r="L357" s="8">
        <f t="shared" si="4"/>
        <v>17322</v>
      </c>
      <c r="M357" s="8">
        <f>(L357 + 'Lån Översikt'!$D$50)</f>
        <v>39271</v>
      </c>
      <c r="N357" s="8">
        <f>IF('Lån Översikt'!$D$22 = "JA", 
    IF(Q357 = TRUE, 'Lån Översikt'!$D$24 - M357, 'Lån Översikt'!$D$24 - M357 + 18300), 
    'Lån Översikt'!$D$24 - M357)
</f>
        <v>10529</v>
      </c>
      <c r="O357" s="25" t="b">
        <f t="shared" si="5"/>
        <v>1</v>
      </c>
      <c r="P357" s="26" t="b">
        <f t="shared" si="6"/>
        <v>0</v>
      </c>
      <c r="Q357" s="27" t="b">
        <f t="shared" si="8"/>
        <v>0</v>
      </c>
    </row>
    <row r="358">
      <c r="F358" s="8">
        <v>355.0</v>
      </c>
      <c r="G358" s="11">
        <f t="shared" si="1"/>
        <v>2078125</v>
      </c>
      <c r="H358" s="9">
        <f>INT(IF(AND('Lån Översikt'!$D$7="JA", 'Lån Översikt'!$D$11="JA", 'Lån Översikt'!$D$8="JA"), (G358*(('Lån Översikt'!$C$7/100*'Lån Översikt'!$C$11/100)-'Lån Översikt'!$C$8/100))/12, IF(AND('Lån Översikt'!$D$7="JA", 'Lån Översikt'!$D$11="JA", 'Lån Översikt'!$D$8="NEJ"), (G358*(('Lån Översikt'!$C$7/100*'Lån Översikt'!$C$11/100))/12), 0)))
</f>
        <v>5311</v>
      </c>
      <c r="I358" s="8">
        <f t="shared" si="2"/>
        <v>4712</v>
      </c>
      <c r="J358" s="8">
        <f>IF(AND(P358, O358), 0, IF(O358, INT((('Lån Översikt'!$C$5 * 1 / 100) / 12)), INT((('Lån Översikt'!$C$5 * 'Lån Översikt'!$C$15 / 100) / 12))))
</f>
        <v>3125</v>
      </c>
      <c r="K358" s="8">
        <f t="shared" si="3"/>
        <v>4166</v>
      </c>
      <c r="L358" s="8">
        <f t="shared" si="4"/>
        <v>17314</v>
      </c>
      <c r="M358" s="8">
        <f>(L358 + 'Lån Översikt'!$D$50)</f>
        <v>39263</v>
      </c>
      <c r="N358" s="8">
        <f>IF('Lån Översikt'!$D$22 = "JA", 
    IF(Q358 = TRUE, 'Lån Översikt'!$D$24 - M358, 'Lån Översikt'!$D$24 - M358 + 18300), 
    'Lån Översikt'!$D$24 - M358)
</f>
        <v>10537</v>
      </c>
      <c r="O358" s="25" t="b">
        <f t="shared" si="5"/>
        <v>1</v>
      </c>
      <c r="P358" s="26" t="b">
        <f t="shared" si="6"/>
        <v>0</v>
      </c>
      <c r="Q358" s="27" t="b">
        <f t="shared" si="8"/>
        <v>0</v>
      </c>
    </row>
    <row r="359">
      <c r="F359" s="8">
        <v>356.0</v>
      </c>
      <c r="G359" s="11">
        <f t="shared" si="1"/>
        <v>2075000</v>
      </c>
      <c r="H359" s="9">
        <f>INT(IF(AND('Lån Översikt'!$D$7="JA", 'Lån Översikt'!$D$11="JA", 'Lån Översikt'!$D$8="JA"), (G359*(('Lån Översikt'!$C$7/100*'Lån Översikt'!$C$11/100)-'Lån Översikt'!$C$8/100))/12, IF(AND('Lån Översikt'!$D$7="JA", 'Lån Översikt'!$D$11="JA", 'Lån Översikt'!$D$8="NEJ"), (G359*(('Lån Översikt'!$C$7/100*'Lån Översikt'!$C$11/100))/12), 0)))
</f>
        <v>5303</v>
      </c>
      <c r="I359" s="8">
        <f t="shared" si="2"/>
        <v>4712</v>
      </c>
      <c r="J359" s="8">
        <f>IF(AND(P359, O359), 0, IF(O359, INT((('Lån Översikt'!$C$5 * 1 / 100) / 12)), INT((('Lån Översikt'!$C$5 * 'Lån Översikt'!$C$15 / 100) / 12))))
</f>
        <v>3125</v>
      </c>
      <c r="K359" s="8">
        <f t="shared" si="3"/>
        <v>4166</v>
      </c>
      <c r="L359" s="8">
        <f t="shared" si="4"/>
        <v>17306</v>
      </c>
      <c r="M359" s="8">
        <f>(L359 + 'Lån Översikt'!$D$50)</f>
        <v>39255</v>
      </c>
      <c r="N359" s="8">
        <f>IF('Lån Översikt'!$D$22 = "JA", 
    IF(Q359 = TRUE, 'Lån Översikt'!$D$24 - M359, 'Lån Översikt'!$D$24 - M359 + 18300), 
    'Lån Översikt'!$D$24 - M359)
</f>
        <v>10545</v>
      </c>
      <c r="O359" s="25" t="b">
        <f t="shared" si="5"/>
        <v>1</v>
      </c>
      <c r="P359" s="26" t="b">
        <f t="shared" si="6"/>
        <v>0</v>
      </c>
      <c r="Q359" s="27" t="b">
        <f t="shared" si="8"/>
        <v>0</v>
      </c>
    </row>
    <row r="360">
      <c r="F360" s="8">
        <v>357.0</v>
      </c>
      <c r="G360" s="11">
        <f t="shared" si="1"/>
        <v>2071875</v>
      </c>
      <c r="H360" s="9">
        <f>INT(IF(AND('Lån Översikt'!$D$7="JA", 'Lån Översikt'!$D$11="JA", 'Lån Översikt'!$D$8="JA"), (G360*(('Lån Översikt'!$C$7/100*'Lån Översikt'!$C$11/100)-'Lån Översikt'!$C$8/100))/12, IF(AND('Lån Översikt'!$D$7="JA", 'Lån Översikt'!$D$11="JA", 'Lån Översikt'!$D$8="NEJ"), (G360*(('Lån Översikt'!$C$7/100*'Lån Översikt'!$C$11/100))/12), 0)))
</f>
        <v>5295</v>
      </c>
      <c r="I360" s="8">
        <f t="shared" si="2"/>
        <v>4712</v>
      </c>
      <c r="J360" s="8">
        <f>IF(AND(P360, O360), 0, IF(O360, INT((('Lån Översikt'!$C$5 * 1 / 100) / 12)), INT((('Lån Översikt'!$C$5 * 'Lån Översikt'!$C$15 / 100) / 12))))
</f>
        <v>3125</v>
      </c>
      <c r="K360" s="8">
        <f t="shared" si="3"/>
        <v>4166</v>
      </c>
      <c r="L360" s="8">
        <f t="shared" si="4"/>
        <v>17298</v>
      </c>
      <c r="M360" s="8">
        <f>(L360 + 'Lån Översikt'!$D$50)</f>
        <v>39247</v>
      </c>
      <c r="N360" s="8">
        <f>IF('Lån Översikt'!$D$22 = "JA", 
    IF(Q360 = TRUE, 'Lån Översikt'!$D$24 - M360, 'Lån Översikt'!$D$24 - M360 + 18300), 
    'Lån Översikt'!$D$24 - M360)
</f>
        <v>10553</v>
      </c>
      <c r="O360" s="25" t="b">
        <f t="shared" si="5"/>
        <v>1</v>
      </c>
      <c r="P360" s="26" t="b">
        <f t="shared" si="6"/>
        <v>0</v>
      </c>
      <c r="Q360" s="27" t="b">
        <f t="shared" si="8"/>
        <v>0</v>
      </c>
    </row>
    <row r="361">
      <c r="F361" s="8">
        <v>358.0</v>
      </c>
      <c r="G361" s="11">
        <f t="shared" si="1"/>
        <v>2068750</v>
      </c>
      <c r="H361" s="9">
        <f>INT(IF(AND('Lån Översikt'!$D$7="JA", 'Lån Översikt'!$D$11="JA", 'Lån Översikt'!$D$8="JA"), (G361*(('Lån Översikt'!$C$7/100*'Lån Översikt'!$C$11/100)-'Lån Översikt'!$C$8/100))/12, IF(AND('Lån Översikt'!$D$7="JA", 'Lån Översikt'!$D$11="JA", 'Lån Översikt'!$D$8="NEJ"), (G361*(('Lån Översikt'!$C$7/100*'Lån Översikt'!$C$11/100))/12), 0)))
</f>
        <v>5287</v>
      </c>
      <c r="I361" s="8">
        <f t="shared" si="2"/>
        <v>4712</v>
      </c>
      <c r="J361" s="8">
        <f>IF(AND(P361, O361), 0, IF(O361, INT((('Lån Översikt'!$C$5 * 1 / 100) / 12)), INT((('Lån Översikt'!$C$5 * 'Lån Översikt'!$C$15 / 100) / 12))))
</f>
        <v>3125</v>
      </c>
      <c r="K361" s="8">
        <f t="shared" si="3"/>
        <v>4166</v>
      </c>
      <c r="L361" s="8">
        <f t="shared" si="4"/>
        <v>17290</v>
      </c>
      <c r="M361" s="8">
        <f>(L361 + 'Lån Översikt'!$D$50)</f>
        <v>39239</v>
      </c>
      <c r="N361" s="8">
        <f>IF('Lån Översikt'!$D$22 = "JA", 
    IF(Q361 = TRUE, 'Lån Översikt'!$D$24 - M361, 'Lån Översikt'!$D$24 - M361 + 18300), 
    'Lån Översikt'!$D$24 - M361)
</f>
        <v>10561</v>
      </c>
      <c r="O361" s="25" t="b">
        <f t="shared" si="5"/>
        <v>1</v>
      </c>
      <c r="P361" s="26" t="b">
        <f t="shared" si="6"/>
        <v>0</v>
      </c>
      <c r="Q361" s="27" t="b">
        <f t="shared" si="8"/>
        <v>0</v>
      </c>
    </row>
    <row r="362">
      <c r="F362" s="8">
        <v>359.0</v>
      </c>
      <c r="G362" s="11">
        <f t="shared" si="1"/>
        <v>2065625</v>
      </c>
      <c r="H362" s="9">
        <f>INT(IF(AND('Lån Översikt'!$D$7="JA", 'Lån Översikt'!$D$11="JA", 'Lån Översikt'!$D$8="JA"), (G362*(('Lån Översikt'!$C$7/100*'Lån Översikt'!$C$11/100)-'Lån Översikt'!$C$8/100))/12, IF(AND('Lån Översikt'!$D$7="JA", 'Lån Översikt'!$D$11="JA", 'Lån Översikt'!$D$8="NEJ"), (G362*(('Lån Översikt'!$C$7/100*'Lån Översikt'!$C$11/100))/12), 0)))
</f>
        <v>5279</v>
      </c>
      <c r="I362" s="8">
        <f t="shared" si="2"/>
        <v>4712</v>
      </c>
      <c r="J362" s="8">
        <f>IF(AND(P362, O362), 0, IF(O362, INT((('Lån Översikt'!$C$5 * 1 / 100) / 12)), INT((('Lån Översikt'!$C$5 * 'Lån Översikt'!$C$15 / 100) / 12))))
</f>
        <v>3125</v>
      </c>
      <c r="K362" s="8">
        <f t="shared" si="3"/>
        <v>4166</v>
      </c>
      <c r="L362" s="8">
        <f t="shared" si="4"/>
        <v>17282</v>
      </c>
      <c r="M362" s="8">
        <f>(L362 + 'Lån Översikt'!$D$50)</f>
        <v>39231</v>
      </c>
      <c r="N362" s="8">
        <f>IF('Lån Översikt'!$D$22 = "JA", 
    IF(Q362 = TRUE, 'Lån Översikt'!$D$24 - M362, 'Lån Översikt'!$D$24 - M362 + 18300), 
    'Lån Översikt'!$D$24 - M362)
</f>
        <v>10569</v>
      </c>
      <c r="O362" s="25" t="b">
        <f t="shared" si="5"/>
        <v>1</v>
      </c>
      <c r="P362" s="26" t="b">
        <f t="shared" si="6"/>
        <v>0</v>
      </c>
      <c r="Q362" s="27" t="b">
        <f t="shared" si="8"/>
        <v>0</v>
      </c>
    </row>
    <row r="363">
      <c r="F363" s="8">
        <v>360.0</v>
      </c>
      <c r="G363" s="11">
        <f t="shared" si="1"/>
        <v>2062500</v>
      </c>
      <c r="H363" s="9">
        <f>INT(IF(AND('Lån Översikt'!$D$7="JA", 'Lån Översikt'!$D$11="JA", 'Lån Översikt'!$D$8="JA"), (G363*(('Lån Översikt'!$C$7/100*'Lån Översikt'!$C$11/100)-'Lån Översikt'!$C$8/100))/12, IF(AND('Lån Översikt'!$D$7="JA", 'Lån Översikt'!$D$11="JA", 'Lån Översikt'!$D$8="NEJ"), (G363*(('Lån Översikt'!$C$7/100*'Lån Översikt'!$C$11/100))/12), 0)))
</f>
        <v>5271</v>
      </c>
      <c r="I363" s="8">
        <f t="shared" si="2"/>
        <v>4712</v>
      </c>
      <c r="J363" s="8">
        <f>IF(AND(P363, O363), 0, IF(O363, INT((('Lån Översikt'!$C$5 * 1 / 100) / 12)), INT((('Lån Översikt'!$C$5 * 'Lån Översikt'!$C$15 / 100) / 12))))
</f>
        <v>3125</v>
      </c>
      <c r="K363" s="8">
        <f t="shared" si="3"/>
        <v>4166</v>
      </c>
      <c r="L363" s="8">
        <f t="shared" si="4"/>
        <v>17274</v>
      </c>
      <c r="M363" s="8">
        <f>(L363 + 'Lån Översikt'!$D$50)</f>
        <v>39223</v>
      </c>
      <c r="N363" s="8">
        <f>IF('Lån Översikt'!$D$22 = "JA", 
    IF(Q363 = TRUE, 'Lån Översikt'!$D$24 - M363, 'Lån Översikt'!$D$24 - M363 + 18300), 
    'Lån Översikt'!$D$24 - M363)
</f>
        <v>10577</v>
      </c>
      <c r="O363" s="25" t="b">
        <f t="shared" si="5"/>
        <v>1</v>
      </c>
      <c r="P363" s="26" t="b">
        <f t="shared" si="6"/>
        <v>0</v>
      </c>
      <c r="Q363" s="27" t="b">
        <f t="shared" si="8"/>
        <v>0</v>
      </c>
    </row>
    <row r="364">
      <c r="F364" s="8">
        <v>361.0</v>
      </c>
      <c r="G364" s="11">
        <f t="shared" si="1"/>
        <v>2059375</v>
      </c>
      <c r="H364" s="9">
        <f>INT(IF(AND('Lån Översikt'!$D$7="JA", 'Lån Översikt'!$D$11="JA", 'Lån Översikt'!$D$8="JA"), (G364*(('Lån Översikt'!$C$7/100*'Lån Översikt'!$C$11/100)-'Lån Översikt'!$C$8/100))/12, IF(AND('Lån Översikt'!$D$7="JA", 'Lån Översikt'!$D$11="JA", 'Lån Översikt'!$D$8="NEJ"), (G364*(('Lån Översikt'!$C$7/100*'Lån Översikt'!$C$11/100))/12), 0)))
</f>
        <v>5263</v>
      </c>
      <c r="I364" s="8">
        <f t="shared" si="2"/>
        <v>4712</v>
      </c>
      <c r="J364" s="8">
        <f>IF(AND(P364, O364), 0, IF(O364, INT((('Lån Översikt'!$C$5 * 1 / 100) / 12)), INT((('Lån Översikt'!$C$5 * 'Lån Översikt'!$C$15 / 100) / 12))))
</f>
        <v>3125</v>
      </c>
      <c r="K364" s="8">
        <f t="shared" si="3"/>
        <v>4166</v>
      </c>
      <c r="L364" s="8">
        <f t="shared" si="4"/>
        <v>17266</v>
      </c>
      <c r="M364" s="8">
        <f>(L364 + 'Lån Översikt'!$D$50)</f>
        <v>39215</v>
      </c>
      <c r="N364" s="8">
        <f>IF('Lån Översikt'!$D$22 = "JA", 
    IF(Q364 = TRUE, 'Lån Översikt'!$D$24 - M364, 'Lån Översikt'!$D$24 - M364 + 18300), 
    'Lån Översikt'!$D$24 - M364)
</f>
        <v>10585</v>
      </c>
      <c r="O364" s="25" t="b">
        <f t="shared" si="5"/>
        <v>1</v>
      </c>
      <c r="P364" s="26" t="b">
        <f t="shared" si="6"/>
        <v>0</v>
      </c>
      <c r="Q364" s="27" t="b">
        <f t="shared" si="8"/>
        <v>0</v>
      </c>
    </row>
    <row r="365">
      <c r="F365" s="8">
        <v>362.0</v>
      </c>
      <c r="G365" s="11">
        <f t="shared" si="1"/>
        <v>2056250</v>
      </c>
      <c r="H365" s="9">
        <f>INT(IF(AND('Lån Översikt'!$D$7="JA", 'Lån Översikt'!$D$11="JA", 'Lån Översikt'!$D$8="JA"), (G365*(('Lån Översikt'!$C$7/100*'Lån Översikt'!$C$11/100)-'Lån Översikt'!$C$8/100))/12, IF(AND('Lån Översikt'!$D$7="JA", 'Lån Översikt'!$D$11="JA", 'Lån Översikt'!$D$8="NEJ"), (G365*(('Lån Översikt'!$C$7/100*'Lån Översikt'!$C$11/100))/12), 0)))
</f>
        <v>5255</v>
      </c>
      <c r="I365" s="8">
        <f t="shared" si="2"/>
        <v>4712</v>
      </c>
      <c r="J365" s="8">
        <f>IF(AND(P365, O365), 0, IF(O365, INT((('Lån Översikt'!$C$5 * 1 / 100) / 12)), INT((('Lån Översikt'!$C$5 * 'Lån Översikt'!$C$15 / 100) / 12))))
</f>
        <v>3125</v>
      </c>
      <c r="K365" s="8">
        <f t="shared" si="3"/>
        <v>4166</v>
      </c>
      <c r="L365" s="8">
        <f t="shared" si="4"/>
        <v>17258</v>
      </c>
      <c r="M365" s="8">
        <f>(L365 + 'Lån Översikt'!$D$50)</f>
        <v>39207</v>
      </c>
      <c r="N365" s="8">
        <f>IF('Lån Översikt'!$D$22 = "JA", 
    IF(Q365 = TRUE, 'Lån Översikt'!$D$24 - M365, 'Lån Översikt'!$D$24 - M365 + 18300), 
    'Lån Översikt'!$D$24 - M365)
</f>
        <v>10593</v>
      </c>
      <c r="O365" s="25" t="b">
        <f t="shared" si="5"/>
        <v>1</v>
      </c>
      <c r="P365" s="26" t="b">
        <f t="shared" si="6"/>
        <v>0</v>
      </c>
      <c r="Q365" s="27" t="b">
        <f t="shared" si="8"/>
        <v>0</v>
      </c>
    </row>
    <row r="366">
      <c r="F366" s="8">
        <v>363.0</v>
      </c>
      <c r="G366" s="11">
        <f t="shared" si="1"/>
        <v>2053125</v>
      </c>
      <c r="H366" s="9">
        <f>INT(IF(AND('Lån Översikt'!$D$7="JA", 'Lån Översikt'!$D$11="JA", 'Lån Översikt'!$D$8="JA"), (G366*(('Lån Översikt'!$C$7/100*'Lån Översikt'!$C$11/100)-'Lån Översikt'!$C$8/100))/12, IF(AND('Lån Översikt'!$D$7="JA", 'Lån Översikt'!$D$11="JA", 'Lån Översikt'!$D$8="NEJ"), (G366*(('Lån Översikt'!$C$7/100*'Lån Översikt'!$C$11/100))/12), 0)))
</f>
        <v>5247</v>
      </c>
      <c r="I366" s="8">
        <f t="shared" si="2"/>
        <v>4712</v>
      </c>
      <c r="J366" s="8">
        <f>IF(AND(P366, O366), 0, IF(O366, INT((('Lån Översikt'!$C$5 * 1 / 100) / 12)), INT((('Lån Översikt'!$C$5 * 'Lån Översikt'!$C$15 / 100) / 12))))
</f>
        <v>3125</v>
      </c>
      <c r="K366" s="8">
        <f t="shared" si="3"/>
        <v>4166</v>
      </c>
      <c r="L366" s="8">
        <f t="shared" si="4"/>
        <v>17250</v>
      </c>
      <c r="M366" s="8">
        <f>(L366 + 'Lån Översikt'!$D$50)</f>
        <v>39199</v>
      </c>
      <c r="N366" s="8">
        <f>IF('Lån Översikt'!$D$22 = "JA", 
    IF(Q366 = TRUE, 'Lån Översikt'!$D$24 - M366, 'Lån Översikt'!$D$24 - M366 + 18300), 
    'Lån Översikt'!$D$24 - M366)
</f>
        <v>10601</v>
      </c>
      <c r="O366" s="25" t="b">
        <f t="shared" si="5"/>
        <v>1</v>
      </c>
      <c r="P366" s="26" t="b">
        <f t="shared" si="6"/>
        <v>0</v>
      </c>
      <c r="Q366" s="27" t="b">
        <f t="shared" si="8"/>
        <v>0</v>
      </c>
    </row>
    <row r="367">
      <c r="F367" s="8">
        <v>364.0</v>
      </c>
      <c r="G367" s="11">
        <f t="shared" si="1"/>
        <v>2050000</v>
      </c>
      <c r="H367" s="9">
        <f>INT(IF(AND('Lån Översikt'!$D$7="JA", 'Lån Översikt'!$D$11="JA", 'Lån Översikt'!$D$8="JA"), (G367*(('Lån Översikt'!$C$7/100*'Lån Översikt'!$C$11/100)-'Lån Översikt'!$C$8/100))/12, IF(AND('Lån Översikt'!$D$7="JA", 'Lån Översikt'!$D$11="JA", 'Lån Översikt'!$D$8="NEJ"), (G367*(('Lån Översikt'!$C$7/100*'Lån Översikt'!$C$11/100))/12), 0)))
</f>
        <v>5239</v>
      </c>
      <c r="I367" s="8">
        <f t="shared" si="2"/>
        <v>4712</v>
      </c>
      <c r="J367" s="8">
        <f>IF(AND(P367, O367), 0, IF(O367, INT((('Lån Översikt'!$C$5 * 1 / 100) / 12)), INT((('Lån Översikt'!$C$5 * 'Lån Översikt'!$C$15 / 100) / 12))))
</f>
        <v>3125</v>
      </c>
      <c r="K367" s="8">
        <f t="shared" si="3"/>
        <v>4166</v>
      </c>
      <c r="L367" s="8">
        <f t="shared" si="4"/>
        <v>17242</v>
      </c>
      <c r="M367" s="8">
        <f>(L367 + 'Lån Översikt'!$D$50)</f>
        <v>39191</v>
      </c>
      <c r="N367" s="8">
        <f>IF('Lån Översikt'!$D$22 = "JA", 
    IF(Q367 = TRUE, 'Lån Översikt'!$D$24 - M367, 'Lån Översikt'!$D$24 - M367 + 18300), 
    'Lån Översikt'!$D$24 - M367)
</f>
        <v>10609</v>
      </c>
      <c r="O367" s="25" t="b">
        <f t="shared" si="5"/>
        <v>1</v>
      </c>
      <c r="P367" s="26" t="b">
        <f t="shared" si="6"/>
        <v>0</v>
      </c>
      <c r="Q367" s="27" t="b">
        <f t="shared" si="8"/>
        <v>0</v>
      </c>
    </row>
    <row r="368">
      <c r="F368" s="8">
        <v>365.0</v>
      </c>
      <c r="G368" s="11">
        <f t="shared" si="1"/>
        <v>2046875</v>
      </c>
      <c r="H368" s="9">
        <f>INT(IF(AND('Lån Översikt'!$D$7="JA", 'Lån Översikt'!$D$11="JA", 'Lån Översikt'!$D$8="JA"), (G368*(('Lån Översikt'!$C$7/100*'Lån Översikt'!$C$11/100)-'Lån Översikt'!$C$8/100))/12, IF(AND('Lån Översikt'!$D$7="JA", 'Lån Översikt'!$D$11="JA", 'Lån Översikt'!$D$8="NEJ"), (G368*(('Lån Översikt'!$C$7/100*'Lån Översikt'!$C$11/100))/12), 0)))
</f>
        <v>5231</v>
      </c>
      <c r="I368" s="8">
        <f t="shared" si="2"/>
        <v>4712</v>
      </c>
      <c r="J368" s="8">
        <f>IF(AND(P368, O368), 0, IF(O368, INT((('Lån Översikt'!$C$5 * 1 / 100) / 12)), INT((('Lån Översikt'!$C$5 * 'Lån Översikt'!$C$15 / 100) / 12))))
</f>
        <v>3125</v>
      </c>
      <c r="K368" s="8">
        <f t="shared" si="3"/>
        <v>4166</v>
      </c>
      <c r="L368" s="8">
        <f t="shared" si="4"/>
        <v>17234</v>
      </c>
      <c r="M368" s="8">
        <f>(L368 + 'Lån Översikt'!$D$50)</f>
        <v>39183</v>
      </c>
      <c r="N368" s="8">
        <f>IF('Lån Översikt'!$D$22 = "JA", 
    IF(Q368 = TRUE, 'Lån Översikt'!$D$24 - M368, 'Lån Översikt'!$D$24 - M368 + 18300), 
    'Lån Översikt'!$D$24 - M368)
</f>
        <v>10617</v>
      </c>
      <c r="O368" s="25" t="b">
        <f t="shared" si="5"/>
        <v>1</v>
      </c>
      <c r="P368" s="26" t="b">
        <f t="shared" si="6"/>
        <v>0</v>
      </c>
      <c r="Q368" s="27" t="b">
        <f t="shared" si="8"/>
        <v>0</v>
      </c>
    </row>
    <row r="369">
      <c r="F369" s="8">
        <v>366.0</v>
      </c>
      <c r="G369" s="11">
        <f t="shared" si="1"/>
        <v>2043750</v>
      </c>
      <c r="H369" s="9">
        <f>INT(IF(AND('Lån Översikt'!$D$7="JA", 'Lån Översikt'!$D$11="JA", 'Lån Översikt'!$D$8="JA"), (G369*(('Lån Översikt'!$C$7/100*'Lån Översikt'!$C$11/100)-'Lån Översikt'!$C$8/100))/12, IF(AND('Lån Översikt'!$D$7="JA", 'Lån Översikt'!$D$11="JA", 'Lån Översikt'!$D$8="NEJ"), (G369*(('Lån Översikt'!$C$7/100*'Lån Översikt'!$C$11/100))/12), 0)))
</f>
        <v>5223</v>
      </c>
      <c r="I369" s="8">
        <f t="shared" si="2"/>
        <v>4712</v>
      </c>
      <c r="J369" s="8">
        <f>IF(AND(P369, O369), 0, IF(O369, INT((('Lån Översikt'!$C$5 * 1 / 100) / 12)), INT((('Lån Översikt'!$C$5 * 'Lån Översikt'!$C$15 / 100) / 12))))
</f>
        <v>3125</v>
      </c>
      <c r="K369" s="8">
        <f t="shared" si="3"/>
        <v>4166</v>
      </c>
      <c r="L369" s="8">
        <f t="shared" si="4"/>
        <v>17226</v>
      </c>
      <c r="M369" s="8">
        <f>(L369 + 'Lån Översikt'!$D$50)</f>
        <v>39175</v>
      </c>
      <c r="N369" s="8">
        <f>IF('Lån Översikt'!$D$22 = "JA", 
    IF(Q369 = TRUE, 'Lån Översikt'!$D$24 - M369, 'Lån Översikt'!$D$24 - M369 + 18300), 
    'Lån Översikt'!$D$24 - M369)
</f>
        <v>10625</v>
      </c>
      <c r="O369" s="25" t="b">
        <f t="shared" si="5"/>
        <v>1</v>
      </c>
      <c r="P369" s="26" t="b">
        <f t="shared" si="6"/>
        <v>0</v>
      </c>
      <c r="Q369" s="27" t="b">
        <f t="shared" si="8"/>
        <v>0</v>
      </c>
    </row>
    <row r="370">
      <c r="F370" s="8">
        <v>367.0</v>
      </c>
      <c r="G370" s="11">
        <f t="shared" si="1"/>
        <v>2040625</v>
      </c>
      <c r="H370" s="9">
        <f>INT(IF(AND('Lån Översikt'!$D$7="JA", 'Lån Översikt'!$D$11="JA", 'Lån Översikt'!$D$8="JA"), (G370*(('Lån Översikt'!$C$7/100*'Lån Översikt'!$C$11/100)-'Lån Översikt'!$C$8/100))/12, IF(AND('Lån Översikt'!$D$7="JA", 'Lån Översikt'!$D$11="JA", 'Lån Översikt'!$D$8="NEJ"), (G370*(('Lån Översikt'!$C$7/100*'Lån Översikt'!$C$11/100))/12), 0)))
</f>
        <v>5215</v>
      </c>
      <c r="I370" s="8">
        <f t="shared" si="2"/>
        <v>4712</v>
      </c>
      <c r="J370" s="8">
        <f>IF(AND(P370, O370), 0, IF(O370, INT((('Lån Översikt'!$C$5 * 1 / 100) / 12)), INT((('Lån Översikt'!$C$5 * 'Lån Översikt'!$C$15 / 100) / 12))))
</f>
        <v>3125</v>
      </c>
      <c r="K370" s="8">
        <f t="shared" si="3"/>
        <v>4166</v>
      </c>
      <c r="L370" s="8">
        <f t="shared" si="4"/>
        <v>17218</v>
      </c>
      <c r="M370" s="8">
        <f>(L370 + 'Lån Översikt'!$D$50)</f>
        <v>39167</v>
      </c>
      <c r="N370" s="8">
        <f>IF('Lån Översikt'!$D$22 = "JA", 
    IF(Q370 = TRUE, 'Lån Översikt'!$D$24 - M370, 'Lån Översikt'!$D$24 - M370 + 18300), 
    'Lån Översikt'!$D$24 - M370)
</f>
        <v>10633</v>
      </c>
      <c r="O370" s="25" t="b">
        <f t="shared" si="5"/>
        <v>1</v>
      </c>
      <c r="P370" s="26" t="b">
        <f t="shared" si="6"/>
        <v>0</v>
      </c>
      <c r="Q370" s="27" t="b">
        <f t="shared" si="8"/>
        <v>0</v>
      </c>
    </row>
    <row r="371">
      <c r="F371" s="8">
        <v>368.0</v>
      </c>
      <c r="G371" s="11">
        <f t="shared" si="1"/>
        <v>2037500</v>
      </c>
      <c r="H371" s="9">
        <f>INT(IF(AND('Lån Översikt'!$D$7="JA", 'Lån Översikt'!$D$11="JA", 'Lån Översikt'!$D$8="JA"), (G371*(('Lån Översikt'!$C$7/100*'Lån Översikt'!$C$11/100)-'Lån Översikt'!$C$8/100))/12, IF(AND('Lån Översikt'!$D$7="JA", 'Lån Översikt'!$D$11="JA", 'Lån Översikt'!$D$8="NEJ"), (G371*(('Lån Översikt'!$C$7/100*'Lån Översikt'!$C$11/100))/12), 0)))
</f>
        <v>5207</v>
      </c>
      <c r="I371" s="8">
        <f t="shared" si="2"/>
        <v>4712</v>
      </c>
      <c r="J371" s="8">
        <f>IF(AND(P371, O371), 0, IF(O371, INT((('Lån Översikt'!$C$5 * 1 / 100) / 12)), INT((('Lån Översikt'!$C$5 * 'Lån Översikt'!$C$15 / 100) / 12))))
</f>
        <v>3125</v>
      </c>
      <c r="K371" s="8">
        <f t="shared" si="3"/>
        <v>4166</v>
      </c>
      <c r="L371" s="8">
        <f t="shared" si="4"/>
        <v>17210</v>
      </c>
      <c r="M371" s="8">
        <f>(L371 + 'Lån Översikt'!$D$50)</f>
        <v>39159</v>
      </c>
      <c r="N371" s="8">
        <f>IF('Lån Översikt'!$D$22 = "JA", 
    IF(Q371 = TRUE, 'Lån Översikt'!$D$24 - M371, 'Lån Översikt'!$D$24 - M371 + 18300), 
    'Lån Översikt'!$D$24 - M371)
</f>
        <v>10641</v>
      </c>
      <c r="O371" s="25" t="b">
        <f t="shared" si="5"/>
        <v>1</v>
      </c>
      <c r="P371" s="26" t="b">
        <f t="shared" si="6"/>
        <v>0</v>
      </c>
      <c r="Q371" s="27" t="b">
        <f t="shared" si="8"/>
        <v>0</v>
      </c>
    </row>
    <row r="372">
      <c r="F372" s="8">
        <v>369.0</v>
      </c>
      <c r="G372" s="11">
        <f t="shared" si="1"/>
        <v>2034375</v>
      </c>
      <c r="H372" s="9">
        <f>INT(IF(AND('Lån Översikt'!$D$7="JA", 'Lån Översikt'!$D$11="JA", 'Lån Översikt'!$D$8="JA"), (G372*(('Lån Översikt'!$C$7/100*'Lån Översikt'!$C$11/100)-'Lån Översikt'!$C$8/100))/12, IF(AND('Lån Översikt'!$D$7="JA", 'Lån Översikt'!$D$11="JA", 'Lån Översikt'!$D$8="NEJ"), (G372*(('Lån Översikt'!$C$7/100*'Lån Översikt'!$C$11/100))/12), 0)))
</f>
        <v>5199</v>
      </c>
      <c r="I372" s="8">
        <f t="shared" si="2"/>
        <v>4712</v>
      </c>
      <c r="J372" s="8">
        <f>IF(AND(P372, O372), 0, IF(O372, INT((('Lån Översikt'!$C$5 * 1 / 100) / 12)), INT((('Lån Översikt'!$C$5 * 'Lån Översikt'!$C$15 / 100) / 12))))
</f>
        <v>3125</v>
      </c>
      <c r="K372" s="8">
        <f t="shared" si="3"/>
        <v>4166</v>
      </c>
      <c r="L372" s="8">
        <f t="shared" si="4"/>
        <v>17202</v>
      </c>
      <c r="M372" s="8">
        <f>(L372 + 'Lån Översikt'!$D$50)</f>
        <v>39151</v>
      </c>
      <c r="N372" s="8">
        <f>IF('Lån Översikt'!$D$22 = "JA", 
    IF(Q372 = TRUE, 'Lån Översikt'!$D$24 - M372, 'Lån Översikt'!$D$24 - M372 + 18300), 
    'Lån Översikt'!$D$24 - M372)
</f>
        <v>10649</v>
      </c>
      <c r="O372" s="25" t="b">
        <f t="shared" si="5"/>
        <v>1</v>
      </c>
      <c r="P372" s="26" t="b">
        <f t="shared" si="6"/>
        <v>0</v>
      </c>
      <c r="Q372" s="27" t="b">
        <f t="shared" si="8"/>
        <v>0</v>
      </c>
    </row>
    <row r="373">
      <c r="F373" s="8">
        <v>370.0</v>
      </c>
      <c r="G373" s="11">
        <f t="shared" si="1"/>
        <v>2031250</v>
      </c>
      <c r="H373" s="9">
        <f>INT(IF(AND('Lån Översikt'!$D$7="JA", 'Lån Översikt'!$D$11="JA", 'Lån Översikt'!$D$8="JA"), (G373*(('Lån Översikt'!$C$7/100*'Lån Översikt'!$C$11/100)-'Lån Översikt'!$C$8/100))/12, IF(AND('Lån Översikt'!$D$7="JA", 'Lån Översikt'!$D$11="JA", 'Lån Översikt'!$D$8="NEJ"), (G373*(('Lån Översikt'!$C$7/100*'Lån Översikt'!$C$11/100))/12), 0)))
</f>
        <v>5191</v>
      </c>
      <c r="I373" s="8">
        <f t="shared" si="2"/>
        <v>4712</v>
      </c>
      <c r="J373" s="8">
        <f>IF(AND(P373, O373), 0, IF(O373, INT((('Lån Översikt'!$C$5 * 1 / 100) / 12)), INT((('Lån Översikt'!$C$5 * 'Lån Översikt'!$C$15 / 100) / 12))))
</f>
        <v>3125</v>
      </c>
      <c r="K373" s="8">
        <f t="shared" si="3"/>
        <v>4166</v>
      </c>
      <c r="L373" s="8">
        <f t="shared" si="4"/>
        <v>17194</v>
      </c>
      <c r="M373" s="8">
        <f>(L373 + 'Lån Översikt'!$D$50)</f>
        <v>39143</v>
      </c>
      <c r="N373" s="8">
        <f>IF('Lån Översikt'!$D$22 = "JA", 
    IF(Q373 = TRUE, 'Lån Översikt'!$D$24 - M373, 'Lån Översikt'!$D$24 - M373 + 18300), 
    'Lån Översikt'!$D$24 - M373)
</f>
        <v>10657</v>
      </c>
      <c r="O373" s="25" t="b">
        <f t="shared" si="5"/>
        <v>1</v>
      </c>
      <c r="P373" s="26" t="b">
        <f t="shared" si="6"/>
        <v>0</v>
      </c>
      <c r="Q373" s="27" t="b">
        <f t="shared" si="8"/>
        <v>0</v>
      </c>
    </row>
    <row r="374">
      <c r="F374" s="8">
        <v>371.0</v>
      </c>
      <c r="G374" s="11">
        <f t="shared" si="1"/>
        <v>2028125</v>
      </c>
      <c r="H374" s="9">
        <f>INT(IF(AND('Lån Översikt'!$D$7="JA", 'Lån Översikt'!$D$11="JA", 'Lån Översikt'!$D$8="JA"), (G374*(('Lån Översikt'!$C$7/100*'Lån Översikt'!$C$11/100)-'Lån Översikt'!$C$8/100))/12, IF(AND('Lån Översikt'!$D$7="JA", 'Lån Översikt'!$D$11="JA", 'Lån Översikt'!$D$8="NEJ"), (G374*(('Lån Översikt'!$C$7/100*'Lån Översikt'!$C$11/100))/12), 0)))
</f>
        <v>5183</v>
      </c>
      <c r="I374" s="8">
        <f t="shared" si="2"/>
        <v>4712</v>
      </c>
      <c r="J374" s="8">
        <f>IF(AND(P374, O374), 0, IF(O374, INT((('Lån Översikt'!$C$5 * 1 / 100) / 12)), INT((('Lån Översikt'!$C$5 * 'Lån Översikt'!$C$15 / 100) / 12))))
</f>
        <v>3125</v>
      </c>
      <c r="K374" s="8">
        <f t="shared" si="3"/>
        <v>4166</v>
      </c>
      <c r="L374" s="8">
        <f t="shared" si="4"/>
        <v>17186</v>
      </c>
      <c r="M374" s="8">
        <f>(L374 + 'Lån Översikt'!$D$50)</f>
        <v>39135</v>
      </c>
      <c r="N374" s="8">
        <f>IF('Lån Översikt'!$D$22 = "JA", 
    IF(Q374 = TRUE, 'Lån Översikt'!$D$24 - M374, 'Lån Översikt'!$D$24 - M374 + 18300), 
    'Lån Översikt'!$D$24 - M374)
</f>
        <v>10665</v>
      </c>
      <c r="O374" s="25" t="b">
        <f t="shared" si="5"/>
        <v>1</v>
      </c>
      <c r="P374" s="26" t="b">
        <f t="shared" si="6"/>
        <v>0</v>
      </c>
      <c r="Q374" s="27" t="b">
        <f t="shared" si="8"/>
        <v>0</v>
      </c>
    </row>
    <row r="375">
      <c r="F375" s="8">
        <v>372.0</v>
      </c>
      <c r="G375" s="11">
        <f t="shared" si="1"/>
        <v>2025000</v>
      </c>
      <c r="H375" s="9">
        <f>INT(IF(AND('Lån Översikt'!$D$7="JA", 'Lån Översikt'!$D$11="JA", 'Lån Översikt'!$D$8="JA"), (G375*(('Lån Översikt'!$C$7/100*'Lån Översikt'!$C$11/100)-'Lån Översikt'!$C$8/100))/12, IF(AND('Lån Översikt'!$D$7="JA", 'Lån Översikt'!$D$11="JA", 'Lån Översikt'!$D$8="NEJ"), (G375*(('Lån Översikt'!$C$7/100*'Lån Översikt'!$C$11/100))/12), 0)))
</f>
        <v>5175</v>
      </c>
      <c r="I375" s="8">
        <f t="shared" si="2"/>
        <v>4712</v>
      </c>
      <c r="J375" s="8">
        <f>IF(AND(P375, O375), 0, IF(O375, INT((('Lån Översikt'!$C$5 * 1 / 100) / 12)), INT((('Lån Översikt'!$C$5 * 'Lån Översikt'!$C$15 / 100) / 12))))
</f>
        <v>3125</v>
      </c>
      <c r="K375" s="8">
        <f t="shared" si="3"/>
        <v>4166</v>
      </c>
      <c r="L375" s="8">
        <f t="shared" si="4"/>
        <v>17178</v>
      </c>
      <c r="M375" s="8">
        <f>(L375 + 'Lån Översikt'!$D$50)</f>
        <v>39127</v>
      </c>
      <c r="N375" s="8">
        <f>IF('Lån Översikt'!$D$22 = "JA", 
    IF(Q375 = TRUE, 'Lån Översikt'!$D$24 - M375, 'Lån Översikt'!$D$24 - M375 + 18300), 
    'Lån Översikt'!$D$24 - M375)
</f>
        <v>10673</v>
      </c>
      <c r="O375" s="25" t="b">
        <f t="shared" si="5"/>
        <v>1</v>
      </c>
      <c r="P375" s="26" t="b">
        <f t="shared" si="6"/>
        <v>0</v>
      </c>
      <c r="Q375" s="27" t="b">
        <f t="shared" si="8"/>
        <v>0</v>
      </c>
    </row>
    <row r="376">
      <c r="F376" s="8">
        <v>373.0</v>
      </c>
      <c r="G376" s="11">
        <f t="shared" si="1"/>
        <v>2021875</v>
      </c>
      <c r="H376" s="9">
        <f>INT(IF(AND('Lån Översikt'!$D$7="JA", 'Lån Översikt'!$D$11="JA", 'Lån Översikt'!$D$8="JA"), (G376*(('Lån Översikt'!$C$7/100*'Lån Översikt'!$C$11/100)-'Lån Översikt'!$C$8/100))/12, IF(AND('Lån Översikt'!$D$7="JA", 'Lån Översikt'!$D$11="JA", 'Lån Översikt'!$D$8="NEJ"), (G376*(('Lån Översikt'!$C$7/100*'Lån Översikt'!$C$11/100))/12), 0)))
</f>
        <v>5167</v>
      </c>
      <c r="I376" s="8">
        <f t="shared" si="2"/>
        <v>4712</v>
      </c>
      <c r="J376" s="8">
        <f>IF(AND(P376, O376), 0, IF(O376, INT((('Lån Översikt'!$C$5 * 1 / 100) / 12)), INT((('Lån Översikt'!$C$5 * 'Lån Översikt'!$C$15 / 100) / 12))))
</f>
        <v>3125</v>
      </c>
      <c r="K376" s="8">
        <f t="shared" si="3"/>
        <v>4166</v>
      </c>
      <c r="L376" s="8">
        <f t="shared" si="4"/>
        <v>17170</v>
      </c>
      <c r="M376" s="8">
        <f>(L376 + 'Lån Översikt'!$D$50)</f>
        <v>39119</v>
      </c>
      <c r="N376" s="8">
        <f>IF('Lån Översikt'!$D$22 = "JA", 
    IF(Q376 = TRUE, 'Lån Översikt'!$D$24 - M376, 'Lån Översikt'!$D$24 - M376 + 18300), 
    'Lån Översikt'!$D$24 - M376)
</f>
        <v>10681</v>
      </c>
      <c r="O376" s="25" t="b">
        <f t="shared" si="5"/>
        <v>1</v>
      </c>
      <c r="P376" s="26" t="b">
        <f t="shared" si="6"/>
        <v>0</v>
      </c>
      <c r="Q376" s="27" t="b">
        <f t="shared" si="8"/>
        <v>0</v>
      </c>
    </row>
    <row r="377">
      <c r="F377" s="8">
        <v>374.0</v>
      </c>
      <c r="G377" s="11">
        <f t="shared" si="1"/>
        <v>2018750</v>
      </c>
      <c r="H377" s="9">
        <f>INT(IF(AND('Lån Översikt'!$D$7="JA", 'Lån Översikt'!$D$11="JA", 'Lån Översikt'!$D$8="JA"), (G377*(('Lån Översikt'!$C$7/100*'Lån Översikt'!$C$11/100)-'Lån Översikt'!$C$8/100))/12, IF(AND('Lån Översikt'!$D$7="JA", 'Lån Översikt'!$D$11="JA", 'Lån Översikt'!$D$8="NEJ"), (G377*(('Lån Översikt'!$C$7/100*'Lån Översikt'!$C$11/100))/12), 0)))
</f>
        <v>5159</v>
      </c>
      <c r="I377" s="8">
        <f t="shared" si="2"/>
        <v>4712</v>
      </c>
      <c r="J377" s="8">
        <f>IF(AND(P377, O377), 0, IF(O377, INT((('Lån Översikt'!$C$5 * 1 / 100) / 12)), INT((('Lån Översikt'!$C$5 * 'Lån Översikt'!$C$15 / 100) / 12))))
</f>
        <v>3125</v>
      </c>
      <c r="K377" s="8">
        <f t="shared" si="3"/>
        <v>4166</v>
      </c>
      <c r="L377" s="8">
        <f t="shared" si="4"/>
        <v>17162</v>
      </c>
      <c r="M377" s="8">
        <f>(L377 + 'Lån Översikt'!$D$50)</f>
        <v>39111</v>
      </c>
      <c r="N377" s="8">
        <f>IF('Lån Översikt'!$D$22 = "JA", 
    IF(Q377 = TRUE, 'Lån Översikt'!$D$24 - M377, 'Lån Översikt'!$D$24 - M377 + 18300), 
    'Lån Översikt'!$D$24 - M377)
</f>
        <v>10689</v>
      </c>
      <c r="O377" s="25" t="b">
        <f t="shared" si="5"/>
        <v>1</v>
      </c>
      <c r="P377" s="26" t="b">
        <f t="shared" si="6"/>
        <v>0</v>
      </c>
      <c r="Q377" s="27" t="b">
        <f t="shared" si="8"/>
        <v>0</v>
      </c>
    </row>
    <row r="378">
      <c r="F378" s="8">
        <v>375.0</v>
      </c>
      <c r="G378" s="11">
        <f t="shared" si="1"/>
        <v>2015625</v>
      </c>
      <c r="H378" s="9">
        <f>INT(IF(AND('Lån Översikt'!$D$7="JA", 'Lån Översikt'!$D$11="JA", 'Lån Översikt'!$D$8="JA"), (G378*(('Lån Översikt'!$C$7/100*'Lån Översikt'!$C$11/100)-'Lån Översikt'!$C$8/100))/12, IF(AND('Lån Översikt'!$D$7="JA", 'Lån Översikt'!$D$11="JA", 'Lån Översikt'!$D$8="NEJ"), (G378*(('Lån Översikt'!$C$7/100*'Lån Översikt'!$C$11/100))/12), 0)))
</f>
        <v>5151</v>
      </c>
      <c r="I378" s="8">
        <f t="shared" si="2"/>
        <v>4712</v>
      </c>
      <c r="J378" s="8">
        <f>IF(AND(P378, O378), 0, IF(O378, INT((('Lån Översikt'!$C$5 * 1 / 100) / 12)), INT((('Lån Översikt'!$C$5 * 'Lån Översikt'!$C$15 / 100) / 12))))
</f>
        <v>3125</v>
      </c>
      <c r="K378" s="8">
        <f t="shared" si="3"/>
        <v>4166</v>
      </c>
      <c r="L378" s="8">
        <f t="shared" si="4"/>
        <v>17154</v>
      </c>
      <c r="M378" s="8">
        <f>(L378 + 'Lån Översikt'!$D$50)</f>
        <v>39103</v>
      </c>
      <c r="N378" s="8">
        <f>IF('Lån Översikt'!$D$22 = "JA", 
    IF(Q378 = TRUE, 'Lån Översikt'!$D$24 - M378, 'Lån Översikt'!$D$24 - M378 + 18300), 
    'Lån Översikt'!$D$24 - M378)
</f>
        <v>10697</v>
      </c>
      <c r="O378" s="25" t="b">
        <f t="shared" si="5"/>
        <v>1</v>
      </c>
      <c r="P378" s="26" t="b">
        <f t="shared" si="6"/>
        <v>0</v>
      </c>
      <c r="Q378" s="27" t="b">
        <f t="shared" si="8"/>
        <v>0</v>
      </c>
    </row>
    <row r="379">
      <c r="F379" s="8">
        <v>376.0</v>
      </c>
      <c r="G379" s="11">
        <f t="shared" si="1"/>
        <v>2012500</v>
      </c>
      <c r="H379" s="9">
        <f>INT(IF(AND('Lån Översikt'!$D$7="JA", 'Lån Översikt'!$D$11="JA", 'Lån Översikt'!$D$8="JA"), (G379*(('Lån Översikt'!$C$7/100*'Lån Översikt'!$C$11/100)-'Lån Översikt'!$C$8/100))/12, IF(AND('Lån Översikt'!$D$7="JA", 'Lån Översikt'!$D$11="JA", 'Lån Översikt'!$D$8="NEJ"), (G379*(('Lån Översikt'!$C$7/100*'Lån Översikt'!$C$11/100))/12), 0)))
</f>
        <v>5143</v>
      </c>
      <c r="I379" s="8">
        <f t="shared" si="2"/>
        <v>4712</v>
      </c>
      <c r="J379" s="8">
        <f>IF(AND(P379, O379), 0, IF(O379, INT((('Lån Översikt'!$C$5 * 1 / 100) / 12)), INT((('Lån Översikt'!$C$5 * 'Lån Översikt'!$C$15 / 100) / 12))))
</f>
        <v>3125</v>
      </c>
      <c r="K379" s="8">
        <f t="shared" si="3"/>
        <v>4166</v>
      </c>
      <c r="L379" s="8">
        <f t="shared" si="4"/>
        <v>17146</v>
      </c>
      <c r="M379" s="8">
        <f>(L379 + 'Lån Översikt'!$D$50)</f>
        <v>39095</v>
      </c>
      <c r="N379" s="8">
        <f>IF('Lån Översikt'!$D$22 = "JA", 
    IF(Q379 = TRUE, 'Lån Översikt'!$D$24 - M379, 'Lån Översikt'!$D$24 - M379 + 18300), 
    'Lån Översikt'!$D$24 - M379)
</f>
        <v>10705</v>
      </c>
      <c r="O379" s="25" t="b">
        <f t="shared" si="5"/>
        <v>1</v>
      </c>
      <c r="P379" s="26" t="b">
        <f t="shared" si="6"/>
        <v>0</v>
      </c>
      <c r="Q379" s="27" t="b">
        <f t="shared" si="8"/>
        <v>0</v>
      </c>
    </row>
    <row r="380">
      <c r="F380" s="8">
        <v>377.0</v>
      </c>
      <c r="G380" s="11">
        <f t="shared" si="1"/>
        <v>2009375</v>
      </c>
      <c r="H380" s="9">
        <f>INT(IF(AND('Lån Översikt'!$D$7="JA", 'Lån Översikt'!$D$11="JA", 'Lån Översikt'!$D$8="JA"), (G380*(('Lån Översikt'!$C$7/100*'Lån Översikt'!$C$11/100)-'Lån Översikt'!$C$8/100))/12, IF(AND('Lån Översikt'!$D$7="JA", 'Lån Översikt'!$D$11="JA", 'Lån Översikt'!$D$8="NEJ"), (G380*(('Lån Översikt'!$C$7/100*'Lån Översikt'!$C$11/100))/12), 0)))
</f>
        <v>5135</v>
      </c>
      <c r="I380" s="8">
        <f t="shared" si="2"/>
        <v>4712</v>
      </c>
      <c r="J380" s="8">
        <f>IF(AND(P380, O380), 0, IF(O380, INT((('Lån Översikt'!$C$5 * 1 / 100) / 12)), INT((('Lån Översikt'!$C$5 * 'Lån Översikt'!$C$15 / 100) / 12))))
</f>
        <v>3125</v>
      </c>
      <c r="K380" s="8">
        <f t="shared" si="3"/>
        <v>4166</v>
      </c>
      <c r="L380" s="8">
        <f t="shared" si="4"/>
        <v>17138</v>
      </c>
      <c r="M380" s="8">
        <f>(L380 + 'Lån Översikt'!$D$50)</f>
        <v>39087</v>
      </c>
      <c r="N380" s="8">
        <f>IF('Lån Översikt'!$D$22 = "JA", 
    IF(Q380 = TRUE, 'Lån Översikt'!$D$24 - M380, 'Lån Översikt'!$D$24 - M380 + 18300), 
    'Lån Översikt'!$D$24 - M380)
</f>
        <v>10713</v>
      </c>
      <c r="O380" s="25" t="b">
        <f t="shared" si="5"/>
        <v>1</v>
      </c>
      <c r="P380" s="26" t="b">
        <f t="shared" si="6"/>
        <v>0</v>
      </c>
      <c r="Q380" s="27" t="b">
        <f t="shared" si="8"/>
        <v>0</v>
      </c>
    </row>
    <row r="381">
      <c r="F381" s="8">
        <v>378.0</v>
      </c>
      <c r="G381" s="11">
        <f t="shared" si="1"/>
        <v>2006250</v>
      </c>
      <c r="H381" s="9">
        <f>INT(IF(AND('Lån Översikt'!$D$7="JA", 'Lån Översikt'!$D$11="JA", 'Lån Översikt'!$D$8="JA"), (G381*(('Lån Översikt'!$C$7/100*'Lån Översikt'!$C$11/100)-'Lån Översikt'!$C$8/100))/12, IF(AND('Lån Översikt'!$D$7="JA", 'Lån Översikt'!$D$11="JA", 'Lån Översikt'!$D$8="NEJ"), (G381*(('Lån Översikt'!$C$7/100*'Lån Översikt'!$C$11/100))/12), 0)))
</f>
        <v>5127</v>
      </c>
      <c r="I381" s="8">
        <f t="shared" si="2"/>
        <v>4712</v>
      </c>
      <c r="J381" s="8">
        <f>IF(AND(P381, O381), 0, IF(O381, INT((('Lån Översikt'!$C$5 * 1 / 100) / 12)), INT((('Lån Översikt'!$C$5 * 'Lån Översikt'!$C$15 / 100) / 12))))
</f>
        <v>3125</v>
      </c>
      <c r="K381" s="8">
        <f t="shared" si="3"/>
        <v>4166</v>
      </c>
      <c r="L381" s="8">
        <f t="shared" si="4"/>
        <v>17130</v>
      </c>
      <c r="M381" s="8">
        <f>(L381 + 'Lån Översikt'!$D$50)</f>
        <v>39079</v>
      </c>
      <c r="N381" s="8">
        <f>IF('Lån Översikt'!$D$22 = "JA", 
    IF(Q381 = TRUE, 'Lån Översikt'!$D$24 - M381, 'Lån Översikt'!$D$24 - M381 + 18300), 
    'Lån Översikt'!$D$24 - M381)
</f>
        <v>10721</v>
      </c>
      <c r="O381" s="25" t="b">
        <f t="shared" si="5"/>
        <v>1</v>
      </c>
      <c r="P381" s="26" t="b">
        <f t="shared" si="6"/>
        <v>0</v>
      </c>
      <c r="Q381" s="27" t="b">
        <f t="shared" si="8"/>
        <v>0</v>
      </c>
    </row>
    <row r="382">
      <c r="F382" s="8">
        <v>379.0</v>
      </c>
      <c r="G382" s="11">
        <f t="shared" si="1"/>
        <v>2003125</v>
      </c>
      <c r="H382" s="9">
        <f>INT(IF(AND('Lån Översikt'!$D$7="JA", 'Lån Översikt'!$D$11="JA", 'Lån Översikt'!$D$8="JA"), (G382*(('Lån Översikt'!$C$7/100*'Lån Översikt'!$C$11/100)-'Lån Översikt'!$C$8/100))/12, IF(AND('Lån Översikt'!$D$7="JA", 'Lån Översikt'!$D$11="JA", 'Lån Översikt'!$D$8="NEJ"), (G382*(('Lån Översikt'!$C$7/100*'Lån Översikt'!$C$11/100))/12), 0)))
</f>
        <v>5119</v>
      </c>
      <c r="I382" s="8">
        <f t="shared" si="2"/>
        <v>4712</v>
      </c>
      <c r="J382" s="8">
        <f>IF(AND(P382, O382), 0, IF(O382, INT((('Lån Översikt'!$C$5 * 1 / 100) / 12)), INT((('Lån Översikt'!$C$5 * 'Lån Översikt'!$C$15 / 100) / 12))))
</f>
        <v>3125</v>
      </c>
      <c r="K382" s="8">
        <f t="shared" si="3"/>
        <v>4166</v>
      </c>
      <c r="L382" s="8">
        <f t="shared" si="4"/>
        <v>17122</v>
      </c>
      <c r="M382" s="8">
        <f>(L382 + 'Lån Översikt'!$D$50)</f>
        <v>39071</v>
      </c>
      <c r="N382" s="8">
        <f>IF('Lån Översikt'!$D$22 = "JA", 
    IF(Q382 = TRUE, 'Lån Översikt'!$D$24 - M382, 'Lån Översikt'!$D$24 - M382 + 18300), 
    'Lån Översikt'!$D$24 - M382)
</f>
        <v>10729</v>
      </c>
      <c r="O382" s="25" t="b">
        <f t="shared" si="5"/>
        <v>1</v>
      </c>
      <c r="P382" s="26" t="b">
        <f t="shared" si="6"/>
        <v>0</v>
      </c>
      <c r="Q382" s="27" t="b">
        <f t="shared" si="8"/>
        <v>0</v>
      </c>
    </row>
    <row r="383">
      <c r="F383" s="8">
        <v>380.0</v>
      </c>
      <c r="G383" s="11">
        <f t="shared" si="1"/>
        <v>2000000</v>
      </c>
      <c r="H383" s="9">
        <f>INT(IF(AND('Lån Översikt'!$D$7="JA", 'Lån Översikt'!$D$11="JA", 'Lån Översikt'!$D$8="JA"), (G383*(('Lån Översikt'!$C$7/100*'Lån Översikt'!$C$11/100)-'Lån Översikt'!$C$8/100))/12, IF(AND('Lån Översikt'!$D$7="JA", 'Lån Översikt'!$D$11="JA", 'Lån Översikt'!$D$8="NEJ"), (G383*(('Lån Översikt'!$C$7/100*'Lån Översikt'!$C$11/100))/12), 0)))
</f>
        <v>5111</v>
      </c>
      <c r="I383" s="8">
        <f t="shared" si="2"/>
        <v>4712</v>
      </c>
      <c r="J383" s="8">
        <f>IF(AND(P383, O383), 0, IF(O383, INT((('Lån Översikt'!$C$5 * 1 / 100) / 12)), INT((('Lån Översikt'!$C$5 * 'Lån Översikt'!$C$15 / 100) / 12))))
</f>
        <v>3125</v>
      </c>
      <c r="K383" s="8">
        <f t="shared" si="3"/>
        <v>4166</v>
      </c>
      <c r="L383" s="8">
        <f t="shared" si="4"/>
        <v>17114</v>
      </c>
      <c r="M383" s="8">
        <f>(L383 + 'Lån Översikt'!$D$50)</f>
        <v>39063</v>
      </c>
      <c r="N383" s="8">
        <f>IF('Lån Översikt'!$D$22 = "JA", 
    IF(Q383 = TRUE, 'Lån Översikt'!$D$24 - M383, 'Lån Översikt'!$D$24 - M383 + 18300), 
    'Lån Översikt'!$D$24 - M383)
</f>
        <v>10737</v>
      </c>
      <c r="O383" s="25" t="b">
        <f t="shared" si="5"/>
        <v>1</v>
      </c>
      <c r="P383" s="26" t="b">
        <f t="shared" si="6"/>
        <v>0</v>
      </c>
      <c r="Q383" s="27" t="b">
        <f t="shared" si="8"/>
        <v>0</v>
      </c>
    </row>
    <row r="384">
      <c r="F384" s="8">
        <v>381.0</v>
      </c>
      <c r="G384" s="11">
        <f t="shared" si="1"/>
        <v>1996875</v>
      </c>
      <c r="H384" s="9">
        <f>INT(IF(AND('Lån Översikt'!$D$7="JA", 'Lån Översikt'!$D$11="JA", 'Lån Översikt'!$D$8="JA"), (G384*(('Lån Översikt'!$C$7/100*'Lån Översikt'!$C$11/100)-'Lån Översikt'!$C$8/100))/12, IF(AND('Lån Översikt'!$D$7="JA", 'Lån Översikt'!$D$11="JA", 'Lån Översikt'!$D$8="NEJ"), (G384*(('Lån Översikt'!$C$7/100*'Lån Översikt'!$C$11/100))/12), 0)))
</f>
        <v>5103</v>
      </c>
      <c r="I384" s="8">
        <f t="shared" si="2"/>
        <v>4712</v>
      </c>
      <c r="J384" s="8">
        <f>IF(AND(P384, O384), 0, IF(O384, INT((('Lån Översikt'!$C$5 * 1 / 100) / 12)), INT((('Lån Översikt'!$C$5 * 'Lån Översikt'!$C$15 / 100) / 12))))
</f>
        <v>3125</v>
      </c>
      <c r="K384" s="8">
        <f t="shared" si="3"/>
        <v>4166</v>
      </c>
      <c r="L384" s="8">
        <f t="shared" si="4"/>
        <v>17106</v>
      </c>
      <c r="M384" s="8">
        <f>(L384 + 'Lån Översikt'!$D$50)</f>
        <v>39055</v>
      </c>
      <c r="N384" s="8">
        <f>IF('Lån Översikt'!$D$22 = "JA", 
    IF(Q384 = TRUE, 'Lån Översikt'!$D$24 - M384, 'Lån Översikt'!$D$24 - M384 + 18300), 
    'Lån Översikt'!$D$24 - M384)
</f>
        <v>10745</v>
      </c>
      <c r="O384" s="25" t="b">
        <f t="shared" si="5"/>
        <v>1</v>
      </c>
      <c r="P384" s="26" t="b">
        <f t="shared" si="6"/>
        <v>0</v>
      </c>
      <c r="Q384" s="27" t="b">
        <f t="shared" si="8"/>
        <v>0</v>
      </c>
    </row>
    <row r="385">
      <c r="F385" s="8">
        <v>382.0</v>
      </c>
      <c r="G385" s="11">
        <f t="shared" si="1"/>
        <v>1993750</v>
      </c>
      <c r="H385" s="9">
        <f>INT(IF(AND('Lån Översikt'!$D$7="JA", 'Lån Översikt'!$D$11="JA", 'Lån Översikt'!$D$8="JA"), (G385*(('Lån Översikt'!$C$7/100*'Lån Översikt'!$C$11/100)-'Lån Översikt'!$C$8/100))/12, IF(AND('Lån Översikt'!$D$7="JA", 'Lån Översikt'!$D$11="JA", 'Lån Översikt'!$D$8="NEJ"), (G385*(('Lån Översikt'!$C$7/100*'Lån Översikt'!$C$11/100))/12), 0)))
</f>
        <v>5095</v>
      </c>
      <c r="I385" s="8">
        <f t="shared" si="2"/>
        <v>4712</v>
      </c>
      <c r="J385" s="8">
        <f>IF(AND(P385, O385), 0, IF(O385, INT((('Lån Översikt'!$C$5 * 1 / 100) / 12)), INT((('Lån Översikt'!$C$5 * 'Lån Översikt'!$C$15 / 100) / 12))))
</f>
        <v>3125</v>
      </c>
      <c r="K385" s="8">
        <f t="shared" si="3"/>
        <v>4166</v>
      </c>
      <c r="L385" s="8">
        <f t="shared" si="4"/>
        <v>17098</v>
      </c>
      <c r="M385" s="8">
        <f>(L385 + 'Lån Översikt'!$D$50)</f>
        <v>39047</v>
      </c>
      <c r="N385" s="8">
        <f>IF('Lån Översikt'!$D$22 = "JA", 
    IF(Q385 = TRUE, 'Lån Översikt'!$D$24 - M385, 'Lån Översikt'!$D$24 - M385 + 18300), 
    'Lån Översikt'!$D$24 - M385)
</f>
        <v>10753</v>
      </c>
      <c r="O385" s="25" t="b">
        <f t="shared" si="5"/>
        <v>1</v>
      </c>
      <c r="P385" s="26" t="b">
        <f t="shared" si="6"/>
        <v>0</v>
      </c>
      <c r="Q385" s="27" t="b">
        <f t="shared" si="8"/>
        <v>0</v>
      </c>
    </row>
    <row r="386">
      <c r="F386" s="8">
        <v>383.0</v>
      </c>
      <c r="G386" s="11">
        <f t="shared" si="1"/>
        <v>1990625</v>
      </c>
      <c r="H386" s="9">
        <f>INT(IF(AND('Lån Översikt'!$D$7="JA", 'Lån Översikt'!$D$11="JA", 'Lån Översikt'!$D$8="JA"), (G386*(('Lån Översikt'!$C$7/100*'Lån Översikt'!$C$11/100)-'Lån Översikt'!$C$8/100))/12, IF(AND('Lån Översikt'!$D$7="JA", 'Lån Översikt'!$D$11="JA", 'Lån Översikt'!$D$8="NEJ"), (G386*(('Lån Översikt'!$C$7/100*'Lån Översikt'!$C$11/100))/12), 0)))
</f>
        <v>5087</v>
      </c>
      <c r="I386" s="8">
        <f t="shared" si="2"/>
        <v>4712</v>
      </c>
      <c r="J386" s="8">
        <f>IF(AND(P386, O386), 0, IF(O386, INT((('Lån Översikt'!$C$5 * 1 / 100) / 12)), INT((('Lån Översikt'!$C$5 * 'Lån Översikt'!$C$15 / 100) / 12))))
</f>
        <v>3125</v>
      </c>
      <c r="K386" s="8">
        <f t="shared" si="3"/>
        <v>4166</v>
      </c>
      <c r="L386" s="8">
        <f t="shared" si="4"/>
        <v>17090</v>
      </c>
      <c r="M386" s="8">
        <f>(L386 + 'Lån Översikt'!$D$50)</f>
        <v>39039</v>
      </c>
      <c r="N386" s="8">
        <f>IF('Lån Översikt'!$D$22 = "JA", 
    IF(Q386 = TRUE, 'Lån Översikt'!$D$24 - M386, 'Lån Översikt'!$D$24 - M386 + 18300), 
    'Lån Översikt'!$D$24 - M386)
</f>
        <v>10761</v>
      </c>
      <c r="O386" s="25" t="b">
        <f t="shared" si="5"/>
        <v>1</v>
      </c>
      <c r="P386" s="26" t="b">
        <f t="shared" si="6"/>
        <v>0</v>
      </c>
      <c r="Q386" s="27" t="b">
        <f t="shared" si="8"/>
        <v>0</v>
      </c>
    </row>
    <row r="387">
      <c r="F387" s="8">
        <v>384.0</v>
      </c>
      <c r="G387" s="11">
        <f t="shared" si="1"/>
        <v>1987500</v>
      </c>
      <c r="H387" s="9">
        <f>INT(IF(AND('Lån Översikt'!$D$7="JA", 'Lån Översikt'!$D$11="JA", 'Lån Översikt'!$D$8="JA"), (G387*(('Lån Översikt'!$C$7/100*'Lån Översikt'!$C$11/100)-'Lån Översikt'!$C$8/100))/12, IF(AND('Lån Översikt'!$D$7="JA", 'Lån Översikt'!$D$11="JA", 'Lån Översikt'!$D$8="NEJ"), (G387*(('Lån Översikt'!$C$7/100*'Lån Översikt'!$C$11/100))/12), 0)))
</f>
        <v>5079</v>
      </c>
      <c r="I387" s="8">
        <f t="shared" si="2"/>
        <v>4712</v>
      </c>
      <c r="J387" s="8">
        <f>IF(AND(P387, O387), 0, IF(O387, INT((('Lån Översikt'!$C$5 * 1 / 100) / 12)), INT((('Lån Översikt'!$C$5 * 'Lån Översikt'!$C$15 / 100) / 12))))
</f>
        <v>3125</v>
      </c>
      <c r="K387" s="8">
        <f t="shared" si="3"/>
        <v>4166</v>
      </c>
      <c r="L387" s="8">
        <f t="shared" si="4"/>
        <v>17082</v>
      </c>
      <c r="M387" s="8">
        <f>(L387 + 'Lån Översikt'!$D$50)</f>
        <v>39031</v>
      </c>
      <c r="N387" s="8">
        <f>IF('Lån Översikt'!$D$22 = "JA", 
    IF(Q387 = TRUE, 'Lån Översikt'!$D$24 - M387, 'Lån Översikt'!$D$24 - M387 + 18300), 
    'Lån Översikt'!$D$24 - M387)
</f>
        <v>10769</v>
      </c>
      <c r="O387" s="25" t="b">
        <f t="shared" si="5"/>
        <v>1</v>
      </c>
      <c r="P387" s="26" t="b">
        <f t="shared" si="6"/>
        <v>0</v>
      </c>
      <c r="Q387" s="27" t="b">
        <f t="shared" si="8"/>
        <v>0</v>
      </c>
    </row>
    <row r="388">
      <c r="F388" s="8">
        <v>385.0</v>
      </c>
      <c r="G388" s="11">
        <f t="shared" si="1"/>
        <v>1984375</v>
      </c>
      <c r="H388" s="9">
        <f>INT(IF(AND('Lån Översikt'!$D$7="JA", 'Lån Översikt'!$D$11="JA", 'Lån Översikt'!$D$8="JA"), (G388*(('Lån Översikt'!$C$7/100*'Lån Översikt'!$C$11/100)-'Lån Översikt'!$C$8/100))/12, IF(AND('Lån Översikt'!$D$7="JA", 'Lån Översikt'!$D$11="JA", 'Lån Översikt'!$D$8="NEJ"), (G388*(('Lån Översikt'!$C$7/100*'Lån Översikt'!$C$11/100))/12), 0)))
</f>
        <v>5071</v>
      </c>
      <c r="I388" s="8">
        <f t="shared" si="2"/>
        <v>4712</v>
      </c>
      <c r="J388" s="8">
        <f>IF(AND(P388, O388), 0, IF(O388, INT((('Lån Översikt'!$C$5 * 1 / 100) / 12)), INT((('Lån Översikt'!$C$5 * 'Lån Översikt'!$C$15 / 100) / 12))))
</f>
        <v>3125</v>
      </c>
      <c r="K388" s="8">
        <f t="shared" si="3"/>
        <v>4166</v>
      </c>
      <c r="L388" s="8">
        <f t="shared" si="4"/>
        <v>17074</v>
      </c>
      <c r="M388" s="8">
        <f>(L388 + 'Lån Översikt'!$D$50)</f>
        <v>39023</v>
      </c>
      <c r="N388" s="8">
        <f>IF('Lån Översikt'!$D$22 = "JA", 
    IF(Q388 = TRUE, 'Lån Översikt'!$D$24 - M388, 'Lån Översikt'!$D$24 - M388 + 18300), 
    'Lån Översikt'!$D$24 - M388)
</f>
        <v>10777</v>
      </c>
      <c r="O388" s="25" t="b">
        <f t="shared" si="5"/>
        <v>1</v>
      </c>
      <c r="P388" s="26" t="b">
        <f t="shared" si="6"/>
        <v>0</v>
      </c>
      <c r="Q388" s="27" t="b">
        <f t="shared" si="8"/>
        <v>0</v>
      </c>
    </row>
    <row r="389">
      <c r="F389" s="8">
        <v>386.0</v>
      </c>
      <c r="G389" s="11">
        <f t="shared" si="1"/>
        <v>1981250</v>
      </c>
      <c r="H389" s="9">
        <f>INT(IF(AND('Lån Översikt'!$D$7="JA", 'Lån Översikt'!$D$11="JA", 'Lån Översikt'!$D$8="JA"), (G389*(('Lån Översikt'!$C$7/100*'Lån Översikt'!$C$11/100)-'Lån Översikt'!$C$8/100))/12, IF(AND('Lån Översikt'!$D$7="JA", 'Lån Översikt'!$D$11="JA", 'Lån Översikt'!$D$8="NEJ"), (G389*(('Lån Översikt'!$C$7/100*'Lån Översikt'!$C$11/100))/12), 0)))
</f>
        <v>5063</v>
      </c>
      <c r="I389" s="8">
        <f t="shared" si="2"/>
        <v>4712</v>
      </c>
      <c r="J389" s="8">
        <f>IF(AND(P389, O389), 0, IF(O389, INT((('Lån Översikt'!$C$5 * 1 / 100) / 12)), INT((('Lån Översikt'!$C$5 * 'Lån Översikt'!$C$15 / 100) / 12))))
</f>
        <v>3125</v>
      </c>
      <c r="K389" s="8">
        <f t="shared" si="3"/>
        <v>4166</v>
      </c>
      <c r="L389" s="8">
        <f t="shared" si="4"/>
        <v>17066</v>
      </c>
      <c r="M389" s="8">
        <f>(L389 + 'Lån Översikt'!$D$50)</f>
        <v>39015</v>
      </c>
      <c r="N389" s="8">
        <f>IF('Lån Översikt'!$D$22 = "JA", 
    IF(Q389 = TRUE, 'Lån Översikt'!$D$24 - M389, 'Lån Översikt'!$D$24 - M389 + 18300), 
    'Lån Översikt'!$D$24 - M389)
</f>
        <v>10785</v>
      </c>
      <c r="O389" s="25" t="b">
        <f t="shared" si="5"/>
        <v>1</v>
      </c>
      <c r="P389" s="26" t="b">
        <f t="shared" si="6"/>
        <v>0</v>
      </c>
      <c r="Q389" s="27" t="b">
        <f t="shared" si="8"/>
        <v>0</v>
      </c>
    </row>
    <row r="390">
      <c r="F390" s="8">
        <v>387.0</v>
      </c>
      <c r="G390" s="11">
        <f t="shared" si="1"/>
        <v>1978125</v>
      </c>
      <c r="H390" s="9">
        <f>INT(IF(AND('Lån Översikt'!$D$7="JA", 'Lån Översikt'!$D$11="JA", 'Lån Översikt'!$D$8="JA"), (G390*(('Lån Översikt'!$C$7/100*'Lån Översikt'!$C$11/100)-'Lån Översikt'!$C$8/100))/12, IF(AND('Lån Översikt'!$D$7="JA", 'Lån Översikt'!$D$11="JA", 'Lån Översikt'!$D$8="NEJ"), (G390*(('Lån Översikt'!$C$7/100*'Lån Översikt'!$C$11/100))/12), 0)))
</f>
        <v>5055</v>
      </c>
      <c r="I390" s="8">
        <f t="shared" si="2"/>
        <v>4712</v>
      </c>
      <c r="J390" s="8">
        <f>IF(AND(P390, O390), 0, IF(O390, INT((('Lån Översikt'!$C$5 * 1 / 100) / 12)), INT((('Lån Översikt'!$C$5 * 'Lån Översikt'!$C$15 / 100) / 12))))
</f>
        <v>3125</v>
      </c>
      <c r="K390" s="8">
        <f t="shared" si="3"/>
        <v>4166</v>
      </c>
      <c r="L390" s="8">
        <f t="shared" si="4"/>
        <v>17058</v>
      </c>
      <c r="M390" s="8">
        <f>(L390 + 'Lån Översikt'!$D$50)</f>
        <v>39007</v>
      </c>
      <c r="N390" s="8">
        <f>IF('Lån Översikt'!$D$22 = "JA", 
    IF(Q390 = TRUE, 'Lån Översikt'!$D$24 - M390, 'Lån Översikt'!$D$24 - M390 + 18300), 
    'Lån Översikt'!$D$24 - M390)
</f>
        <v>10793</v>
      </c>
      <c r="O390" s="25" t="b">
        <f t="shared" si="5"/>
        <v>1</v>
      </c>
      <c r="P390" s="26" t="b">
        <f t="shared" si="6"/>
        <v>0</v>
      </c>
      <c r="Q390" s="27" t="b">
        <f t="shared" si="8"/>
        <v>0</v>
      </c>
    </row>
    <row r="391">
      <c r="F391" s="8">
        <v>388.0</v>
      </c>
      <c r="G391" s="11">
        <f t="shared" si="1"/>
        <v>1975000</v>
      </c>
      <c r="H391" s="9">
        <f>INT(IF(AND('Lån Översikt'!$D$7="JA", 'Lån Översikt'!$D$11="JA", 'Lån Översikt'!$D$8="JA"), (G391*(('Lån Översikt'!$C$7/100*'Lån Översikt'!$C$11/100)-'Lån Översikt'!$C$8/100))/12, IF(AND('Lån Översikt'!$D$7="JA", 'Lån Översikt'!$D$11="JA", 'Lån Översikt'!$D$8="NEJ"), (G391*(('Lån Översikt'!$C$7/100*'Lån Översikt'!$C$11/100))/12), 0)))
</f>
        <v>5047</v>
      </c>
      <c r="I391" s="8">
        <f t="shared" si="2"/>
        <v>4712</v>
      </c>
      <c r="J391" s="8">
        <f>IF(AND(P391, O391), 0, IF(O391, INT((('Lån Översikt'!$C$5 * 1 / 100) / 12)), INT((('Lån Översikt'!$C$5 * 'Lån Översikt'!$C$15 / 100) / 12))))
</f>
        <v>3125</v>
      </c>
      <c r="K391" s="8">
        <f t="shared" si="3"/>
        <v>4166</v>
      </c>
      <c r="L391" s="8">
        <f t="shared" si="4"/>
        <v>17050</v>
      </c>
      <c r="M391" s="8">
        <f>(L391 + 'Lån Översikt'!$D$50)</f>
        <v>38999</v>
      </c>
      <c r="N391" s="8">
        <f>IF('Lån Översikt'!$D$22 = "JA", 
    IF(Q391 = TRUE, 'Lån Översikt'!$D$24 - M391, 'Lån Översikt'!$D$24 - M391 + 18300), 
    'Lån Översikt'!$D$24 - M391)
</f>
        <v>10801</v>
      </c>
      <c r="O391" s="25" t="b">
        <f t="shared" si="5"/>
        <v>1</v>
      </c>
      <c r="P391" s="26" t="b">
        <f t="shared" si="6"/>
        <v>0</v>
      </c>
      <c r="Q391" s="27" t="b">
        <f t="shared" si="8"/>
        <v>0</v>
      </c>
    </row>
    <row r="392">
      <c r="F392" s="8">
        <v>389.0</v>
      </c>
      <c r="G392" s="11">
        <f t="shared" si="1"/>
        <v>1971875</v>
      </c>
      <c r="H392" s="9">
        <f>INT(IF(AND('Lån Översikt'!$D$7="JA", 'Lån Översikt'!$D$11="JA", 'Lån Översikt'!$D$8="JA"), (G392*(('Lån Översikt'!$C$7/100*'Lån Översikt'!$C$11/100)-'Lån Översikt'!$C$8/100))/12, IF(AND('Lån Översikt'!$D$7="JA", 'Lån Översikt'!$D$11="JA", 'Lån Översikt'!$D$8="NEJ"), (G392*(('Lån Översikt'!$C$7/100*'Lån Översikt'!$C$11/100))/12), 0)))
</f>
        <v>5039</v>
      </c>
      <c r="I392" s="8">
        <f t="shared" si="2"/>
        <v>4712</v>
      </c>
      <c r="J392" s="8">
        <f>IF(AND(P392, O392), 0, IF(O392, INT((('Lån Översikt'!$C$5 * 1 / 100) / 12)), INT((('Lån Översikt'!$C$5 * 'Lån Översikt'!$C$15 / 100) / 12))))
</f>
        <v>3125</v>
      </c>
      <c r="K392" s="8">
        <f t="shared" si="3"/>
        <v>4166</v>
      </c>
      <c r="L392" s="8">
        <f t="shared" si="4"/>
        <v>17042</v>
      </c>
      <c r="M392" s="8">
        <f>(L392 + 'Lån Översikt'!$D$50)</f>
        <v>38991</v>
      </c>
      <c r="N392" s="8">
        <f>IF('Lån Översikt'!$D$22 = "JA", 
    IF(Q392 = TRUE, 'Lån Översikt'!$D$24 - M392, 'Lån Översikt'!$D$24 - M392 + 18300), 
    'Lån Översikt'!$D$24 - M392)
</f>
        <v>10809</v>
      </c>
      <c r="O392" s="25" t="b">
        <f t="shared" si="5"/>
        <v>1</v>
      </c>
      <c r="P392" s="26" t="b">
        <f t="shared" si="6"/>
        <v>0</v>
      </c>
      <c r="Q392" s="27" t="b">
        <f t="shared" si="8"/>
        <v>0</v>
      </c>
    </row>
    <row r="393">
      <c r="F393" s="8">
        <v>390.0</v>
      </c>
      <c r="G393" s="11">
        <f t="shared" si="1"/>
        <v>1968750</v>
      </c>
      <c r="H393" s="9">
        <f>INT(IF(AND('Lån Översikt'!$D$7="JA", 'Lån Översikt'!$D$11="JA", 'Lån Översikt'!$D$8="JA"), (G393*(('Lån Översikt'!$C$7/100*'Lån Översikt'!$C$11/100)-'Lån Översikt'!$C$8/100))/12, IF(AND('Lån Översikt'!$D$7="JA", 'Lån Översikt'!$D$11="JA", 'Lån Översikt'!$D$8="NEJ"), (G393*(('Lån Översikt'!$C$7/100*'Lån Översikt'!$C$11/100))/12), 0)))
</f>
        <v>5031</v>
      </c>
      <c r="I393" s="8">
        <f t="shared" si="2"/>
        <v>4712</v>
      </c>
      <c r="J393" s="8">
        <f>IF(AND(P393, O393), 0, IF(O393, INT((('Lån Översikt'!$C$5 * 1 / 100) / 12)), INT((('Lån Översikt'!$C$5 * 'Lån Översikt'!$C$15 / 100) / 12))))
</f>
        <v>3125</v>
      </c>
      <c r="K393" s="8">
        <f t="shared" si="3"/>
        <v>4166</v>
      </c>
      <c r="L393" s="8">
        <f t="shared" si="4"/>
        <v>17034</v>
      </c>
      <c r="M393" s="8">
        <f>(L393 + 'Lån Översikt'!$D$50)</f>
        <v>38983</v>
      </c>
      <c r="N393" s="8">
        <f>IF('Lån Översikt'!$D$22 = "JA", 
    IF(Q393 = TRUE, 'Lån Översikt'!$D$24 - M393, 'Lån Översikt'!$D$24 - M393 + 18300), 
    'Lån Översikt'!$D$24 - M393)
</f>
        <v>10817</v>
      </c>
      <c r="O393" s="25" t="b">
        <f t="shared" si="5"/>
        <v>1</v>
      </c>
      <c r="P393" s="26" t="b">
        <f t="shared" si="6"/>
        <v>0</v>
      </c>
      <c r="Q393" s="27" t="b">
        <f t="shared" si="8"/>
        <v>0</v>
      </c>
    </row>
    <row r="394">
      <c r="F394" s="8">
        <v>391.0</v>
      </c>
      <c r="G394" s="11">
        <f t="shared" si="1"/>
        <v>1965625</v>
      </c>
      <c r="H394" s="9">
        <f>INT(IF(AND('Lån Översikt'!$D$7="JA", 'Lån Översikt'!$D$11="JA", 'Lån Översikt'!$D$8="JA"), (G394*(('Lån Översikt'!$C$7/100*'Lån Översikt'!$C$11/100)-'Lån Översikt'!$C$8/100))/12, IF(AND('Lån Översikt'!$D$7="JA", 'Lån Översikt'!$D$11="JA", 'Lån Översikt'!$D$8="NEJ"), (G394*(('Lån Översikt'!$C$7/100*'Lån Översikt'!$C$11/100))/12), 0)))
</f>
        <v>5023</v>
      </c>
      <c r="I394" s="8">
        <f t="shared" si="2"/>
        <v>4712</v>
      </c>
      <c r="J394" s="8">
        <f>IF(AND(P394, O394), 0, IF(O394, INT((('Lån Översikt'!$C$5 * 1 / 100) / 12)), INT((('Lån Översikt'!$C$5 * 'Lån Översikt'!$C$15 / 100) / 12))))
</f>
        <v>3125</v>
      </c>
      <c r="K394" s="8">
        <f t="shared" si="3"/>
        <v>4166</v>
      </c>
      <c r="L394" s="8">
        <f t="shared" si="4"/>
        <v>17026</v>
      </c>
      <c r="M394" s="8">
        <f>(L394 + 'Lån Översikt'!$D$50)</f>
        <v>38975</v>
      </c>
      <c r="N394" s="8">
        <f>IF('Lån Översikt'!$D$22 = "JA", 
    IF(Q394 = TRUE, 'Lån Översikt'!$D$24 - M394, 'Lån Översikt'!$D$24 - M394 + 18300), 
    'Lån Översikt'!$D$24 - M394)
</f>
        <v>10825</v>
      </c>
      <c r="O394" s="25" t="b">
        <f t="shared" si="5"/>
        <v>1</v>
      </c>
      <c r="P394" s="26" t="b">
        <f t="shared" si="6"/>
        <v>0</v>
      </c>
      <c r="Q394" s="27" t="b">
        <f t="shared" si="8"/>
        <v>0</v>
      </c>
    </row>
    <row r="395">
      <c r="F395" s="8">
        <v>392.0</v>
      </c>
      <c r="G395" s="11">
        <f t="shared" si="1"/>
        <v>1962500</v>
      </c>
      <c r="H395" s="9">
        <f>INT(IF(AND('Lån Översikt'!$D$7="JA", 'Lån Översikt'!$D$11="JA", 'Lån Översikt'!$D$8="JA"), (G395*(('Lån Översikt'!$C$7/100*'Lån Översikt'!$C$11/100)-'Lån Översikt'!$C$8/100))/12, IF(AND('Lån Översikt'!$D$7="JA", 'Lån Översikt'!$D$11="JA", 'Lån Översikt'!$D$8="NEJ"), (G395*(('Lån Översikt'!$C$7/100*'Lån Översikt'!$C$11/100))/12), 0)))
</f>
        <v>5015</v>
      </c>
      <c r="I395" s="8">
        <f t="shared" si="2"/>
        <v>4712</v>
      </c>
      <c r="J395" s="8">
        <f>IF(AND(P395, O395), 0, IF(O395, INT((('Lån Översikt'!$C$5 * 1 / 100) / 12)), INT((('Lån Översikt'!$C$5 * 'Lån Översikt'!$C$15 / 100) / 12))))
</f>
        <v>3125</v>
      </c>
      <c r="K395" s="8">
        <f t="shared" si="3"/>
        <v>4166</v>
      </c>
      <c r="L395" s="8">
        <f t="shared" si="4"/>
        <v>17018</v>
      </c>
      <c r="M395" s="8">
        <f>(L395 + 'Lån Översikt'!$D$50)</f>
        <v>38967</v>
      </c>
      <c r="N395" s="8">
        <f>IF('Lån Översikt'!$D$22 = "JA", 
    IF(Q395 = TRUE, 'Lån Översikt'!$D$24 - M395, 'Lån Översikt'!$D$24 - M395 + 18300), 
    'Lån Översikt'!$D$24 - M395)
</f>
        <v>10833</v>
      </c>
      <c r="O395" s="25" t="b">
        <f t="shared" si="5"/>
        <v>1</v>
      </c>
      <c r="P395" s="26" t="b">
        <f t="shared" si="6"/>
        <v>0</v>
      </c>
      <c r="Q395" s="27" t="b">
        <f t="shared" si="8"/>
        <v>0</v>
      </c>
    </row>
    <row r="396">
      <c r="F396" s="8">
        <v>393.0</v>
      </c>
      <c r="G396" s="11">
        <f t="shared" si="1"/>
        <v>1959375</v>
      </c>
      <c r="H396" s="9">
        <f>INT(IF(AND('Lån Översikt'!$D$7="JA", 'Lån Översikt'!$D$11="JA", 'Lån Översikt'!$D$8="JA"), (G396*(('Lån Översikt'!$C$7/100*'Lån Översikt'!$C$11/100)-'Lån Översikt'!$C$8/100))/12, IF(AND('Lån Översikt'!$D$7="JA", 'Lån Översikt'!$D$11="JA", 'Lån Översikt'!$D$8="NEJ"), (G396*(('Lån Översikt'!$C$7/100*'Lån Översikt'!$C$11/100))/12), 0)))
</f>
        <v>5007</v>
      </c>
      <c r="I396" s="8">
        <f t="shared" si="2"/>
        <v>4712</v>
      </c>
      <c r="J396" s="8">
        <f>IF(AND(P396, O396), 0, IF(O396, INT((('Lån Översikt'!$C$5 * 1 / 100) / 12)), INT((('Lån Översikt'!$C$5 * 'Lån Översikt'!$C$15 / 100) / 12))))
</f>
        <v>3125</v>
      </c>
      <c r="K396" s="8">
        <f t="shared" si="3"/>
        <v>4166</v>
      </c>
      <c r="L396" s="8">
        <f t="shared" si="4"/>
        <v>17010</v>
      </c>
      <c r="M396" s="8">
        <f>(L396 + 'Lån Översikt'!$D$50)</f>
        <v>38959</v>
      </c>
      <c r="N396" s="8">
        <f>IF('Lån Översikt'!$D$22 = "JA", 
    IF(Q396 = TRUE, 'Lån Översikt'!$D$24 - M396, 'Lån Översikt'!$D$24 - M396 + 18300), 
    'Lån Översikt'!$D$24 - M396)
</f>
        <v>10841</v>
      </c>
      <c r="O396" s="25" t="b">
        <f t="shared" si="5"/>
        <v>1</v>
      </c>
      <c r="P396" s="26" t="b">
        <f t="shared" si="6"/>
        <v>0</v>
      </c>
      <c r="Q396" s="27" t="b">
        <f t="shared" si="8"/>
        <v>0</v>
      </c>
    </row>
    <row r="397">
      <c r="F397" s="8">
        <v>394.0</v>
      </c>
      <c r="G397" s="11">
        <f t="shared" si="1"/>
        <v>1956250</v>
      </c>
      <c r="H397" s="9">
        <f>INT(IF(AND('Lån Översikt'!$D$7="JA", 'Lån Översikt'!$D$11="JA", 'Lån Översikt'!$D$8="JA"), (G397*(('Lån Översikt'!$C$7/100*'Lån Översikt'!$C$11/100)-'Lån Översikt'!$C$8/100))/12, IF(AND('Lån Översikt'!$D$7="JA", 'Lån Översikt'!$D$11="JA", 'Lån Översikt'!$D$8="NEJ"), (G397*(('Lån Översikt'!$C$7/100*'Lån Översikt'!$C$11/100))/12), 0)))
</f>
        <v>4999</v>
      </c>
      <c r="I397" s="8">
        <f t="shared" si="2"/>
        <v>4712</v>
      </c>
      <c r="J397" s="8">
        <f>IF(AND(P397, O397), 0, IF(O397, INT((('Lån Översikt'!$C$5 * 1 / 100) / 12)), INT((('Lån Översikt'!$C$5 * 'Lån Översikt'!$C$15 / 100) / 12))))
</f>
        <v>3125</v>
      </c>
      <c r="K397" s="8">
        <f t="shared" si="3"/>
        <v>4166</v>
      </c>
      <c r="L397" s="8">
        <f t="shared" si="4"/>
        <v>17002</v>
      </c>
      <c r="M397" s="8">
        <f>(L397 + 'Lån Översikt'!$D$50)</f>
        <v>38951</v>
      </c>
      <c r="N397" s="8">
        <f>IF('Lån Översikt'!$D$22 = "JA", 
    IF(Q397 = TRUE, 'Lån Översikt'!$D$24 - M397, 'Lån Översikt'!$D$24 - M397 + 18300), 
    'Lån Översikt'!$D$24 - M397)
</f>
        <v>10849</v>
      </c>
      <c r="O397" s="25" t="b">
        <f t="shared" si="5"/>
        <v>1</v>
      </c>
      <c r="P397" s="26" t="b">
        <f t="shared" si="6"/>
        <v>0</v>
      </c>
      <c r="Q397" s="27" t="b">
        <f t="shared" si="8"/>
        <v>0</v>
      </c>
    </row>
    <row r="398">
      <c r="F398" s="8">
        <v>395.0</v>
      </c>
      <c r="G398" s="11">
        <f t="shared" si="1"/>
        <v>1953125</v>
      </c>
      <c r="H398" s="9">
        <f>INT(IF(AND('Lån Översikt'!$D$7="JA", 'Lån Översikt'!$D$11="JA", 'Lån Översikt'!$D$8="JA"), (G398*(('Lån Översikt'!$C$7/100*'Lån Översikt'!$C$11/100)-'Lån Översikt'!$C$8/100))/12, IF(AND('Lån Översikt'!$D$7="JA", 'Lån Översikt'!$D$11="JA", 'Lån Översikt'!$D$8="NEJ"), (G398*(('Lån Översikt'!$C$7/100*'Lån Översikt'!$C$11/100))/12), 0)))
</f>
        <v>4991</v>
      </c>
      <c r="I398" s="8">
        <f t="shared" si="2"/>
        <v>4712</v>
      </c>
      <c r="J398" s="8">
        <f>IF(AND(P398, O398), 0, IF(O398, INT((('Lån Översikt'!$C$5 * 1 / 100) / 12)), INT((('Lån Översikt'!$C$5 * 'Lån Översikt'!$C$15 / 100) / 12))))
</f>
        <v>3125</v>
      </c>
      <c r="K398" s="8">
        <f t="shared" si="3"/>
        <v>4166</v>
      </c>
      <c r="L398" s="8">
        <f t="shared" si="4"/>
        <v>16994</v>
      </c>
      <c r="M398" s="8">
        <f>(L398 + 'Lån Översikt'!$D$50)</f>
        <v>38943</v>
      </c>
      <c r="N398" s="8">
        <f>IF('Lån Översikt'!$D$22 = "JA", 
    IF(Q398 = TRUE, 'Lån Översikt'!$D$24 - M398, 'Lån Översikt'!$D$24 - M398 + 18300), 
    'Lån Översikt'!$D$24 - M398)
</f>
        <v>10857</v>
      </c>
      <c r="O398" s="25" t="b">
        <f t="shared" si="5"/>
        <v>1</v>
      </c>
      <c r="P398" s="26" t="b">
        <f t="shared" si="6"/>
        <v>0</v>
      </c>
      <c r="Q398" s="27" t="b">
        <f t="shared" si="8"/>
        <v>0</v>
      </c>
    </row>
    <row r="399">
      <c r="F399" s="8">
        <v>396.0</v>
      </c>
      <c r="G399" s="11">
        <f t="shared" si="1"/>
        <v>1950000</v>
      </c>
      <c r="H399" s="9">
        <f>INT(IF(AND('Lån Översikt'!$D$7="JA", 'Lån Översikt'!$D$11="JA", 'Lån Översikt'!$D$8="JA"), (G399*(('Lån Översikt'!$C$7/100*'Lån Översikt'!$C$11/100)-'Lån Översikt'!$C$8/100))/12, IF(AND('Lån Översikt'!$D$7="JA", 'Lån Översikt'!$D$11="JA", 'Lån Översikt'!$D$8="NEJ"), (G399*(('Lån Översikt'!$C$7/100*'Lån Översikt'!$C$11/100))/12), 0)))
</f>
        <v>4983</v>
      </c>
      <c r="I399" s="8">
        <f t="shared" si="2"/>
        <v>4712</v>
      </c>
      <c r="J399" s="8">
        <f>IF(AND(P399, O399), 0, IF(O399, INT((('Lån Översikt'!$C$5 * 1 / 100) / 12)), INT((('Lån Översikt'!$C$5 * 'Lån Översikt'!$C$15 / 100) / 12))))
</f>
        <v>3125</v>
      </c>
      <c r="K399" s="8">
        <f t="shared" si="3"/>
        <v>4166</v>
      </c>
      <c r="L399" s="8">
        <f t="shared" si="4"/>
        <v>16986</v>
      </c>
      <c r="M399" s="8">
        <f>(L399 + 'Lån Översikt'!$D$50)</f>
        <v>38935</v>
      </c>
      <c r="N399" s="8">
        <f>IF('Lån Översikt'!$D$22 = "JA", 
    IF(Q399 = TRUE, 'Lån Översikt'!$D$24 - M399, 'Lån Översikt'!$D$24 - M399 + 18300), 
    'Lån Översikt'!$D$24 - M399)
</f>
        <v>10865</v>
      </c>
      <c r="O399" s="25" t="b">
        <f t="shared" si="5"/>
        <v>1</v>
      </c>
      <c r="P399" s="26" t="b">
        <f t="shared" si="6"/>
        <v>0</v>
      </c>
      <c r="Q399" s="27" t="b">
        <f t="shared" si="8"/>
        <v>0</v>
      </c>
    </row>
    <row r="400">
      <c r="F400" s="8">
        <v>397.0</v>
      </c>
      <c r="G400" s="11">
        <f t="shared" si="1"/>
        <v>1946875</v>
      </c>
      <c r="H400" s="9">
        <f>INT(IF(AND('Lån Översikt'!$D$7="JA", 'Lån Översikt'!$D$11="JA", 'Lån Översikt'!$D$8="JA"), (G400*(('Lån Översikt'!$C$7/100*'Lån Översikt'!$C$11/100)-'Lån Översikt'!$C$8/100))/12, IF(AND('Lån Översikt'!$D$7="JA", 'Lån Översikt'!$D$11="JA", 'Lån Översikt'!$D$8="NEJ"), (G400*(('Lån Översikt'!$C$7/100*'Lån Översikt'!$C$11/100))/12), 0)))
</f>
        <v>4975</v>
      </c>
      <c r="I400" s="8">
        <f t="shared" si="2"/>
        <v>4712</v>
      </c>
      <c r="J400" s="8">
        <f>IF(AND(P400, O400), 0, IF(O400, INT((('Lån Översikt'!$C$5 * 1 / 100) / 12)), INT((('Lån Översikt'!$C$5 * 'Lån Översikt'!$C$15 / 100) / 12))))
</f>
        <v>3125</v>
      </c>
      <c r="K400" s="8">
        <f t="shared" si="3"/>
        <v>4166</v>
      </c>
      <c r="L400" s="8">
        <f t="shared" si="4"/>
        <v>16978</v>
      </c>
      <c r="M400" s="8">
        <f>(L400 + 'Lån Översikt'!$D$50)</f>
        <v>38927</v>
      </c>
      <c r="N400" s="8">
        <f>IF('Lån Översikt'!$D$22 = "JA", 
    IF(Q400 = TRUE, 'Lån Översikt'!$D$24 - M400, 'Lån Översikt'!$D$24 - M400 + 18300), 
    'Lån Översikt'!$D$24 - M400)
</f>
        <v>10873</v>
      </c>
      <c r="O400" s="25" t="b">
        <f t="shared" si="5"/>
        <v>1</v>
      </c>
      <c r="P400" s="26" t="b">
        <f t="shared" si="6"/>
        <v>0</v>
      </c>
      <c r="Q400" s="27" t="b">
        <f t="shared" si="8"/>
        <v>0</v>
      </c>
    </row>
    <row r="401">
      <c r="F401" s="8">
        <v>398.0</v>
      </c>
      <c r="G401" s="11">
        <f t="shared" si="1"/>
        <v>1943750</v>
      </c>
      <c r="H401" s="9">
        <f>INT(IF(AND('Lån Översikt'!$D$7="JA", 'Lån Översikt'!$D$11="JA", 'Lån Översikt'!$D$8="JA"), (G401*(('Lån Översikt'!$C$7/100*'Lån Översikt'!$C$11/100)-'Lån Översikt'!$C$8/100))/12, IF(AND('Lån Översikt'!$D$7="JA", 'Lån Översikt'!$D$11="JA", 'Lån Översikt'!$D$8="NEJ"), (G401*(('Lån Översikt'!$C$7/100*'Lån Översikt'!$C$11/100))/12), 0)))
</f>
        <v>4967</v>
      </c>
      <c r="I401" s="8">
        <f t="shared" si="2"/>
        <v>4712</v>
      </c>
      <c r="J401" s="8">
        <f>IF(AND(P401, O401), 0, IF(O401, INT((('Lån Översikt'!$C$5 * 1 / 100) / 12)), INT((('Lån Översikt'!$C$5 * 'Lån Översikt'!$C$15 / 100) / 12))))
</f>
        <v>3125</v>
      </c>
      <c r="K401" s="8">
        <f t="shared" si="3"/>
        <v>4166</v>
      </c>
      <c r="L401" s="8">
        <f t="shared" si="4"/>
        <v>16970</v>
      </c>
      <c r="M401" s="8">
        <f>(L401 + 'Lån Översikt'!$D$50)</f>
        <v>38919</v>
      </c>
      <c r="N401" s="8">
        <f>IF('Lån Översikt'!$D$22 = "JA", 
    IF(Q401 = TRUE, 'Lån Översikt'!$D$24 - M401, 'Lån Översikt'!$D$24 - M401 + 18300), 
    'Lån Översikt'!$D$24 - M401)
</f>
        <v>10881</v>
      </c>
      <c r="O401" s="25" t="b">
        <f t="shared" si="5"/>
        <v>1</v>
      </c>
      <c r="P401" s="26" t="b">
        <f t="shared" si="6"/>
        <v>0</v>
      </c>
      <c r="Q401" s="27" t="b">
        <f t="shared" si="8"/>
        <v>0</v>
      </c>
    </row>
    <row r="402">
      <c r="F402" s="8">
        <v>399.0</v>
      </c>
      <c r="G402" s="11">
        <f t="shared" si="1"/>
        <v>1940625</v>
      </c>
      <c r="H402" s="9">
        <f>INT(IF(AND('Lån Översikt'!$D$7="JA", 'Lån Översikt'!$D$11="JA", 'Lån Översikt'!$D$8="JA"), (G402*(('Lån Översikt'!$C$7/100*'Lån Översikt'!$C$11/100)-'Lån Översikt'!$C$8/100))/12, IF(AND('Lån Översikt'!$D$7="JA", 'Lån Översikt'!$D$11="JA", 'Lån Översikt'!$D$8="NEJ"), (G402*(('Lån Översikt'!$C$7/100*'Lån Översikt'!$C$11/100))/12), 0)))
</f>
        <v>4959</v>
      </c>
      <c r="I402" s="8">
        <f t="shared" si="2"/>
        <v>4712</v>
      </c>
      <c r="J402" s="8">
        <f>IF(AND(P402, O402), 0, IF(O402, INT((('Lån Översikt'!$C$5 * 1 / 100) / 12)), INT((('Lån Översikt'!$C$5 * 'Lån Översikt'!$C$15 / 100) / 12))))
</f>
        <v>3125</v>
      </c>
      <c r="K402" s="8">
        <f t="shared" si="3"/>
        <v>4166</v>
      </c>
      <c r="L402" s="8">
        <f t="shared" si="4"/>
        <v>16962</v>
      </c>
      <c r="M402" s="8">
        <f>(L402 + 'Lån Översikt'!$D$50)</f>
        <v>38911</v>
      </c>
      <c r="N402" s="8">
        <f>IF('Lån Översikt'!$D$22 = "JA", 
    IF(Q402 = TRUE, 'Lån Översikt'!$D$24 - M402, 'Lån Översikt'!$D$24 - M402 + 18300), 
    'Lån Översikt'!$D$24 - M402)
</f>
        <v>10889</v>
      </c>
      <c r="O402" s="25" t="b">
        <f t="shared" si="5"/>
        <v>1</v>
      </c>
      <c r="P402" s="26" t="b">
        <f t="shared" si="6"/>
        <v>0</v>
      </c>
      <c r="Q402" s="27" t="b">
        <f t="shared" si="8"/>
        <v>0</v>
      </c>
    </row>
    <row r="403">
      <c r="F403" s="8">
        <v>400.0</v>
      </c>
      <c r="G403" s="11">
        <f t="shared" si="1"/>
        <v>1937500</v>
      </c>
      <c r="H403" s="9">
        <f>INT(IF(AND('Lån Översikt'!$D$7="JA", 'Lån Översikt'!$D$11="JA", 'Lån Översikt'!$D$8="JA"), (G403*(('Lån Översikt'!$C$7/100*'Lån Översikt'!$C$11/100)-'Lån Översikt'!$C$8/100))/12, IF(AND('Lån Översikt'!$D$7="JA", 'Lån Översikt'!$D$11="JA", 'Lån Översikt'!$D$8="NEJ"), (G403*(('Lån Översikt'!$C$7/100*'Lån Översikt'!$C$11/100))/12), 0)))
</f>
        <v>4951</v>
      </c>
      <c r="I403" s="8">
        <f t="shared" si="2"/>
        <v>4712</v>
      </c>
      <c r="J403" s="8">
        <f>IF(AND(P403, O403), 0, IF(O403, INT((('Lån Översikt'!$C$5 * 1 / 100) / 12)), INT((('Lån Översikt'!$C$5 * 'Lån Översikt'!$C$15 / 100) / 12))))
</f>
        <v>3125</v>
      </c>
      <c r="K403" s="8">
        <f t="shared" si="3"/>
        <v>4166</v>
      </c>
      <c r="L403" s="8">
        <f t="shared" si="4"/>
        <v>16954</v>
      </c>
      <c r="M403" s="8">
        <f>(L403 + 'Lån Översikt'!$D$50)</f>
        <v>38903</v>
      </c>
      <c r="N403" s="8">
        <f>IF('Lån Översikt'!$D$22 = "JA", 
    IF(Q403 = TRUE, 'Lån Översikt'!$D$24 - M403, 'Lån Översikt'!$D$24 - M403 + 18300), 
    'Lån Översikt'!$D$24 - M403)
</f>
        <v>10897</v>
      </c>
      <c r="O403" s="25" t="b">
        <f t="shared" si="5"/>
        <v>1</v>
      </c>
      <c r="P403" s="26" t="b">
        <f t="shared" si="6"/>
        <v>0</v>
      </c>
      <c r="Q403" s="27" t="b">
        <f t="shared" si="8"/>
        <v>0</v>
      </c>
    </row>
    <row r="404">
      <c r="F404" s="8">
        <v>401.0</v>
      </c>
      <c r="G404" s="11">
        <f t="shared" si="1"/>
        <v>1934375</v>
      </c>
      <c r="H404" s="9">
        <f>INT(IF(AND('Lån Översikt'!$D$7="JA", 'Lån Översikt'!$D$11="JA", 'Lån Översikt'!$D$8="JA"), (G404*(('Lån Översikt'!$C$7/100*'Lån Översikt'!$C$11/100)-'Lån Översikt'!$C$8/100))/12, IF(AND('Lån Översikt'!$D$7="JA", 'Lån Översikt'!$D$11="JA", 'Lån Översikt'!$D$8="NEJ"), (G404*(('Lån Översikt'!$C$7/100*'Lån Översikt'!$C$11/100))/12), 0)))
</f>
        <v>4943</v>
      </c>
      <c r="I404" s="8">
        <f t="shared" si="2"/>
        <v>4712</v>
      </c>
      <c r="J404" s="8">
        <f>IF(AND(P404, O404), 0, IF(O404, INT((('Lån Översikt'!$C$5 * 1 / 100) / 12)), INT((('Lån Översikt'!$C$5 * 'Lån Översikt'!$C$15 / 100) / 12))))
</f>
        <v>3125</v>
      </c>
      <c r="K404" s="8">
        <f t="shared" si="3"/>
        <v>4166</v>
      </c>
      <c r="L404" s="8">
        <f t="shared" si="4"/>
        <v>16946</v>
      </c>
      <c r="M404" s="8">
        <f>(L404 + 'Lån Översikt'!$D$50)</f>
        <v>38895</v>
      </c>
      <c r="N404" s="8">
        <f>IF('Lån Översikt'!$D$22 = "JA", 
    IF(Q404 = TRUE, 'Lån Översikt'!$D$24 - M404, 'Lån Översikt'!$D$24 - M404 + 18300), 
    'Lån Översikt'!$D$24 - M404)
</f>
        <v>10905</v>
      </c>
      <c r="O404" s="25" t="b">
        <f t="shared" si="5"/>
        <v>1</v>
      </c>
      <c r="P404" s="26" t="b">
        <f t="shared" si="6"/>
        <v>0</v>
      </c>
      <c r="Q404" s="27" t="b">
        <f t="shared" si="8"/>
        <v>0</v>
      </c>
    </row>
    <row r="405">
      <c r="F405" s="8">
        <v>402.0</v>
      </c>
      <c r="G405" s="11">
        <f t="shared" si="1"/>
        <v>1931250</v>
      </c>
      <c r="H405" s="9">
        <f>INT(IF(AND('Lån Översikt'!$D$7="JA", 'Lån Översikt'!$D$11="JA", 'Lån Översikt'!$D$8="JA"), (G405*(('Lån Översikt'!$C$7/100*'Lån Översikt'!$C$11/100)-'Lån Översikt'!$C$8/100))/12, IF(AND('Lån Översikt'!$D$7="JA", 'Lån Översikt'!$D$11="JA", 'Lån Översikt'!$D$8="NEJ"), (G405*(('Lån Översikt'!$C$7/100*'Lån Översikt'!$C$11/100))/12), 0)))
</f>
        <v>4935</v>
      </c>
      <c r="I405" s="8">
        <f t="shared" si="2"/>
        <v>4712</v>
      </c>
      <c r="J405" s="8">
        <f>IF(AND(P405, O405), 0, IF(O405, INT((('Lån Översikt'!$C$5 * 1 / 100) / 12)), INT((('Lån Översikt'!$C$5 * 'Lån Översikt'!$C$15 / 100) / 12))))
</f>
        <v>3125</v>
      </c>
      <c r="K405" s="8">
        <f t="shared" si="3"/>
        <v>4166</v>
      </c>
      <c r="L405" s="8">
        <f t="shared" si="4"/>
        <v>16938</v>
      </c>
      <c r="M405" s="8">
        <f>(L405 + 'Lån Översikt'!$D$50)</f>
        <v>38887</v>
      </c>
      <c r="N405" s="8">
        <f>IF('Lån Översikt'!$D$22 = "JA", 
    IF(Q405 = TRUE, 'Lån Översikt'!$D$24 - M405, 'Lån Översikt'!$D$24 - M405 + 18300), 
    'Lån Översikt'!$D$24 - M405)
</f>
        <v>10913</v>
      </c>
      <c r="O405" s="25" t="b">
        <f t="shared" si="5"/>
        <v>1</v>
      </c>
      <c r="P405" s="26" t="b">
        <f t="shared" si="6"/>
        <v>0</v>
      </c>
      <c r="Q405" s="27" t="b">
        <f t="shared" si="8"/>
        <v>0</v>
      </c>
    </row>
    <row r="406">
      <c r="F406" s="8">
        <v>403.0</v>
      </c>
      <c r="G406" s="11">
        <f t="shared" si="1"/>
        <v>1928125</v>
      </c>
      <c r="H406" s="9">
        <f>INT(IF(AND('Lån Översikt'!$D$7="JA", 'Lån Översikt'!$D$11="JA", 'Lån Översikt'!$D$8="JA"), (G406*(('Lån Översikt'!$C$7/100*'Lån Översikt'!$C$11/100)-'Lån Översikt'!$C$8/100))/12, IF(AND('Lån Översikt'!$D$7="JA", 'Lån Översikt'!$D$11="JA", 'Lån Översikt'!$D$8="NEJ"), (G406*(('Lån Översikt'!$C$7/100*'Lån Översikt'!$C$11/100))/12), 0)))
</f>
        <v>4927</v>
      </c>
      <c r="I406" s="8">
        <f t="shared" si="2"/>
        <v>4712</v>
      </c>
      <c r="J406" s="8">
        <f>IF(AND(P406, O406), 0, IF(O406, INT((('Lån Översikt'!$C$5 * 1 / 100) / 12)), INT((('Lån Översikt'!$C$5 * 'Lån Översikt'!$C$15 / 100) / 12))))
</f>
        <v>3125</v>
      </c>
      <c r="K406" s="8">
        <f t="shared" si="3"/>
        <v>4166</v>
      </c>
      <c r="L406" s="8">
        <f t="shared" si="4"/>
        <v>16930</v>
      </c>
      <c r="M406" s="8">
        <f>(L406 + 'Lån Översikt'!$D$50)</f>
        <v>38879</v>
      </c>
      <c r="N406" s="8">
        <f>IF('Lån Översikt'!$D$22 = "JA", 
    IF(Q406 = TRUE, 'Lån Översikt'!$D$24 - M406, 'Lån Översikt'!$D$24 - M406 + 18300), 
    'Lån Översikt'!$D$24 - M406)
</f>
        <v>10921</v>
      </c>
      <c r="O406" s="25" t="b">
        <f t="shared" si="5"/>
        <v>1</v>
      </c>
      <c r="P406" s="26" t="b">
        <f t="shared" si="6"/>
        <v>0</v>
      </c>
      <c r="Q406" s="27" t="b">
        <f t="shared" si="8"/>
        <v>0</v>
      </c>
    </row>
    <row r="407">
      <c r="F407" s="8">
        <v>404.0</v>
      </c>
      <c r="G407" s="11">
        <f t="shared" si="1"/>
        <v>1925000</v>
      </c>
      <c r="H407" s="9">
        <f>INT(IF(AND('Lån Översikt'!$D$7="JA", 'Lån Översikt'!$D$11="JA", 'Lån Översikt'!$D$8="JA"), (G407*(('Lån Översikt'!$C$7/100*'Lån Översikt'!$C$11/100)-'Lån Översikt'!$C$8/100))/12, IF(AND('Lån Översikt'!$D$7="JA", 'Lån Översikt'!$D$11="JA", 'Lån Översikt'!$D$8="NEJ"), (G407*(('Lån Översikt'!$C$7/100*'Lån Översikt'!$C$11/100))/12), 0)))
</f>
        <v>4919</v>
      </c>
      <c r="I407" s="8">
        <f t="shared" si="2"/>
        <v>4712</v>
      </c>
      <c r="J407" s="8">
        <f>IF(AND(P407, O407), 0, IF(O407, INT((('Lån Översikt'!$C$5 * 1 / 100) / 12)), INT((('Lån Översikt'!$C$5 * 'Lån Översikt'!$C$15 / 100) / 12))))
</f>
        <v>3125</v>
      </c>
      <c r="K407" s="8">
        <f t="shared" si="3"/>
        <v>4166</v>
      </c>
      <c r="L407" s="8">
        <f t="shared" si="4"/>
        <v>16922</v>
      </c>
      <c r="M407" s="8">
        <f>(L407 + 'Lån Översikt'!$D$50)</f>
        <v>38871</v>
      </c>
      <c r="N407" s="8">
        <f>IF('Lån Översikt'!$D$22 = "JA", 
    IF(Q407 = TRUE, 'Lån Översikt'!$D$24 - M407, 'Lån Översikt'!$D$24 - M407 + 18300), 
    'Lån Översikt'!$D$24 - M407)
</f>
        <v>10929</v>
      </c>
      <c r="O407" s="25" t="b">
        <f t="shared" si="5"/>
        <v>1</v>
      </c>
      <c r="P407" s="26" t="b">
        <f t="shared" si="6"/>
        <v>0</v>
      </c>
      <c r="Q407" s="27" t="b">
        <f t="shared" si="8"/>
        <v>0</v>
      </c>
    </row>
    <row r="408">
      <c r="F408" s="8">
        <v>405.0</v>
      </c>
      <c r="G408" s="11">
        <f t="shared" si="1"/>
        <v>1921875</v>
      </c>
      <c r="H408" s="9">
        <f>INT(IF(AND('Lån Översikt'!$D$7="JA", 'Lån Översikt'!$D$11="JA", 'Lån Översikt'!$D$8="JA"), (G408*(('Lån Översikt'!$C$7/100*'Lån Översikt'!$C$11/100)-'Lån Översikt'!$C$8/100))/12, IF(AND('Lån Översikt'!$D$7="JA", 'Lån Översikt'!$D$11="JA", 'Lån Översikt'!$D$8="NEJ"), (G408*(('Lån Översikt'!$C$7/100*'Lån Översikt'!$C$11/100))/12), 0)))
</f>
        <v>4911</v>
      </c>
      <c r="I408" s="8">
        <f t="shared" si="2"/>
        <v>4712</v>
      </c>
      <c r="J408" s="8">
        <f>IF(AND(P408, O408), 0, IF(O408, INT((('Lån Översikt'!$C$5 * 1 / 100) / 12)), INT((('Lån Översikt'!$C$5 * 'Lån Översikt'!$C$15 / 100) / 12))))
</f>
        <v>3125</v>
      </c>
      <c r="K408" s="8">
        <f t="shared" si="3"/>
        <v>4166</v>
      </c>
      <c r="L408" s="8">
        <f t="shared" si="4"/>
        <v>16914</v>
      </c>
      <c r="M408" s="8">
        <f>(L408 + 'Lån Översikt'!$D$50)</f>
        <v>38863</v>
      </c>
      <c r="N408" s="8">
        <f>IF('Lån Översikt'!$D$22 = "JA", 
    IF(Q408 = TRUE, 'Lån Översikt'!$D$24 - M408, 'Lån Översikt'!$D$24 - M408 + 18300), 
    'Lån Översikt'!$D$24 - M408)
</f>
        <v>10937</v>
      </c>
      <c r="O408" s="25" t="b">
        <f t="shared" si="5"/>
        <v>1</v>
      </c>
      <c r="P408" s="26" t="b">
        <f t="shared" si="6"/>
        <v>0</v>
      </c>
      <c r="Q408" s="27" t="b">
        <f t="shared" si="8"/>
        <v>0</v>
      </c>
    </row>
    <row r="409">
      <c r="F409" s="8">
        <v>406.0</v>
      </c>
      <c r="G409" s="11">
        <f t="shared" si="1"/>
        <v>1918750</v>
      </c>
      <c r="H409" s="9">
        <f>INT(IF(AND('Lån Översikt'!$D$7="JA", 'Lån Översikt'!$D$11="JA", 'Lån Översikt'!$D$8="JA"), (G409*(('Lån Översikt'!$C$7/100*'Lån Översikt'!$C$11/100)-'Lån Översikt'!$C$8/100))/12, IF(AND('Lån Översikt'!$D$7="JA", 'Lån Översikt'!$D$11="JA", 'Lån Översikt'!$D$8="NEJ"), (G409*(('Lån Översikt'!$C$7/100*'Lån Översikt'!$C$11/100))/12), 0)))
</f>
        <v>4904</v>
      </c>
      <c r="I409" s="8">
        <f t="shared" si="2"/>
        <v>4712</v>
      </c>
      <c r="J409" s="8">
        <f>IF(AND(P409, O409), 0, IF(O409, INT((('Lån Översikt'!$C$5 * 1 / 100) / 12)), INT((('Lån Översikt'!$C$5 * 'Lån Översikt'!$C$15 / 100) / 12))))
</f>
        <v>3125</v>
      </c>
      <c r="K409" s="8">
        <f t="shared" si="3"/>
        <v>4166</v>
      </c>
      <c r="L409" s="8">
        <f t="shared" si="4"/>
        <v>16907</v>
      </c>
      <c r="M409" s="8">
        <f>(L409 + 'Lån Översikt'!$D$50)</f>
        <v>38856</v>
      </c>
      <c r="N409" s="8">
        <f>IF('Lån Översikt'!$D$22 = "JA", 
    IF(Q409 = TRUE, 'Lån Översikt'!$D$24 - M409, 'Lån Översikt'!$D$24 - M409 + 18300), 
    'Lån Översikt'!$D$24 - M409)
</f>
        <v>10944</v>
      </c>
      <c r="O409" s="25" t="b">
        <f t="shared" si="5"/>
        <v>1</v>
      </c>
      <c r="P409" s="26" t="b">
        <f t="shared" si="6"/>
        <v>0</v>
      </c>
      <c r="Q409" s="27" t="b">
        <f t="shared" si="8"/>
        <v>0</v>
      </c>
    </row>
    <row r="410">
      <c r="F410" s="8">
        <v>407.0</v>
      </c>
      <c r="G410" s="11">
        <f t="shared" si="1"/>
        <v>1915625</v>
      </c>
      <c r="H410" s="9">
        <f>INT(IF(AND('Lån Översikt'!$D$7="JA", 'Lån Översikt'!$D$11="JA", 'Lån Översikt'!$D$8="JA"), (G410*(('Lån Översikt'!$C$7/100*'Lån Översikt'!$C$11/100)-'Lån Översikt'!$C$8/100))/12, IF(AND('Lån Översikt'!$D$7="JA", 'Lån Översikt'!$D$11="JA", 'Lån Översikt'!$D$8="NEJ"), (G410*(('Lån Översikt'!$C$7/100*'Lån Översikt'!$C$11/100))/12), 0)))
</f>
        <v>4896</v>
      </c>
      <c r="I410" s="8">
        <f t="shared" si="2"/>
        <v>4712</v>
      </c>
      <c r="J410" s="8">
        <f>IF(AND(P410, O410), 0, IF(O410, INT((('Lån Översikt'!$C$5 * 1 / 100) / 12)), INT((('Lån Översikt'!$C$5 * 'Lån Översikt'!$C$15 / 100) / 12))))
</f>
        <v>3125</v>
      </c>
      <c r="K410" s="8">
        <f t="shared" si="3"/>
        <v>4166</v>
      </c>
      <c r="L410" s="8">
        <f t="shared" si="4"/>
        <v>16899</v>
      </c>
      <c r="M410" s="8">
        <f>(L410 + 'Lån Översikt'!$D$50)</f>
        <v>38848</v>
      </c>
      <c r="N410" s="8">
        <f>IF('Lån Översikt'!$D$22 = "JA", 
    IF(Q410 = TRUE, 'Lån Översikt'!$D$24 - M410, 'Lån Översikt'!$D$24 - M410 + 18300), 
    'Lån Översikt'!$D$24 - M410)
</f>
        <v>10952</v>
      </c>
      <c r="O410" s="25" t="b">
        <f t="shared" si="5"/>
        <v>1</v>
      </c>
      <c r="P410" s="26" t="b">
        <f t="shared" si="6"/>
        <v>0</v>
      </c>
      <c r="Q410" s="27" t="b">
        <f t="shared" si="8"/>
        <v>0</v>
      </c>
    </row>
    <row r="411">
      <c r="F411" s="8">
        <v>408.0</v>
      </c>
      <c r="G411" s="11">
        <f t="shared" si="1"/>
        <v>1912500</v>
      </c>
      <c r="H411" s="9">
        <f>INT(IF(AND('Lån Översikt'!$D$7="JA", 'Lån Översikt'!$D$11="JA", 'Lån Översikt'!$D$8="JA"), (G411*(('Lån Översikt'!$C$7/100*'Lån Översikt'!$C$11/100)-'Lån Översikt'!$C$8/100))/12, IF(AND('Lån Översikt'!$D$7="JA", 'Lån Översikt'!$D$11="JA", 'Lån Översikt'!$D$8="NEJ"), (G411*(('Lån Översikt'!$C$7/100*'Lån Översikt'!$C$11/100))/12), 0)))
</f>
        <v>4888</v>
      </c>
      <c r="I411" s="8">
        <f t="shared" si="2"/>
        <v>4712</v>
      </c>
      <c r="J411" s="8">
        <f>IF(AND(P411, O411), 0, IF(O411, INT((('Lån Översikt'!$C$5 * 1 / 100) / 12)), INT((('Lån Översikt'!$C$5 * 'Lån Översikt'!$C$15 / 100) / 12))))
</f>
        <v>3125</v>
      </c>
      <c r="K411" s="8">
        <f t="shared" si="3"/>
        <v>4166</v>
      </c>
      <c r="L411" s="8">
        <f t="shared" si="4"/>
        <v>16891</v>
      </c>
      <c r="M411" s="8">
        <f>(L411 + 'Lån Översikt'!$D$50)</f>
        <v>38840</v>
      </c>
      <c r="N411" s="8">
        <f>IF('Lån Översikt'!$D$22 = "JA", 
    IF(Q411 = TRUE, 'Lån Översikt'!$D$24 - M411, 'Lån Översikt'!$D$24 - M411 + 18300), 
    'Lån Översikt'!$D$24 - M411)
</f>
        <v>10960</v>
      </c>
      <c r="O411" s="25" t="b">
        <f t="shared" si="5"/>
        <v>1</v>
      </c>
      <c r="P411" s="26" t="b">
        <f t="shared" si="6"/>
        <v>0</v>
      </c>
      <c r="Q411" s="27" t="b">
        <f t="shared" si="8"/>
        <v>0</v>
      </c>
    </row>
    <row r="412">
      <c r="F412" s="8">
        <v>409.0</v>
      </c>
      <c r="G412" s="11">
        <f t="shared" si="1"/>
        <v>1909375</v>
      </c>
      <c r="H412" s="9">
        <f>INT(IF(AND('Lån Översikt'!$D$7="JA", 'Lån Översikt'!$D$11="JA", 'Lån Översikt'!$D$8="JA"), (G412*(('Lån Översikt'!$C$7/100*'Lån Översikt'!$C$11/100)-'Lån Översikt'!$C$8/100))/12, IF(AND('Lån Översikt'!$D$7="JA", 'Lån Översikt'!$D$11="JA", 'Lån Översikt'!$D$8="NEJ"), (G412*(('Lån Översikt'!$C$7/100*'Lån Översikt'!$C$11/100))/12), 0)))
</f>
        <v>4880</v>
      </c>
      <c r="I412" s="8">
        <f t="shared" si="2"/>
        <v>4712</v>
      </c>
      <c r="J412" s="8">
        <f>IF(AND(P412, O412), 0, IF(O412, INT((('Lån Översikt'!$C$5 * 1 / 100) / 12)), INT((('Lån Översikt'!$C$5 * 'Lån Översikt'!$C$15 / 100) / 12))))
</f>
        <v>3125</v>
      </c>
      <c r="K412" s="8">
        <f t="shared" si="3"/>
        <v>4166</v>
      </c>
      <c r="L412" s="8">
        <f t="shared" si="4"/>
        <v>16883</v>
      </c>
      <c r="M412" s="8">
        <f>(L412 + 'Lån Översikt'!$D$50)</f>
        <v>38832</v>
      </c>
      <c r="N412" s="8">
        <f>IF('Lån Översikt'!$D$22 = "JA", 
    IF(Q412 = TRUE, 'Lån Översikt'!$D$24 - M412, 'Lån Översikt'!$D$24 - M412 + 18300), 
    'Lån Översikt'!$D$24 - M412)
</f>
        <v>10968</v>
      </c>
      <c r="O412" s="25" t="b">
        <f t="shared" si="5"/>
        <v>1</v>
      </c>
      <c r="P412" s="26" t="b">
        <f t="shared" si="6"/>
        <v>0</v>
      </c>
      <c r="Q412" s="27" t="b">
        <f t="shared" si="8"/>
        <v>0</v>
      </c>
    </row>
    <row r="413">
      <c r="F413" s="8">
        <v>410.0</v>
      </c>
      <c r="G413" s="11">
        <f t="shared" si="1"/>
        <v>1906250</v>
      </c>
      <c r="H413" s="9">
        <f>INT(IF(AND('Lån Översikt'!$D$7="JA", 'Lån Översikt'!$D$11="JA", 'Lån Översikt'!$D$8="JA"), (G413*(('Lån Översikt'!$C$7/100*'Lån Översikt'!$C$11/100)-'Lån Översikt'!$C$8/100))/12, IF(AND('Lån Översikt'!$D$7="JA", 'Lån Översikt'!$D$11="JA", 'Lån Översikt'!$D$8="NEJ"), (G413*(('Lån Översikt'!$C$7/100*'Lån Översikt'!$C$11/100))/12), 0)))
</f>
        <v>4872</v>
      </c>
      <c r="I413" s="8">
        <f t="shared" si="2"/>
        <v>4712</v>
      </c>
      <c r="J413" s="8">
        <f>IF(AND(P413, O413), 0, IF(O413, INT((('Lån Översikt'!$C$5 * 1 / 100) / 12)), INT((('Lån Översikt'!$C$5 * 'Lån Översikt'!$C$15 / 100) / 12))))
</f>
        <v>3125</v>
      </c>
      <c r="K413" s="8">
        <f t="shared" si="3"/>
        <v>4166</v>
      </c>
      <c r="L413" s="8">
        <f t="shared" si="4"/>
        <v>16875</v>
      </c>
      <c r="M413" s="8">
        <f>(L413 + 'Lån Översikt'!$D$50)</f>
        <v>38824</v>
      </c>
      <c r="N413" s="8">
        <f>IF('Lån Översikt'!$D$22 = "JA", 
    IF(Q413 = TRUE, 'Lån Översikt'!$D$24 - M413, 'Lån Översikt'!$D$24 - M413 + 18300), 
    'Lån Översikt'!$D$24 - M413)
</f>
        <v>10976</v>
      </c>
      <c r="O413" s="25" t="b">
        <f t="shared" si="5"/>
        <v>1</v>
      </c>
      <c r="P413" s="26" t="b">
        <f t="shared" si="6"/>
        <v>0</v>
      </c>
      <c r="Q413" s="27" t="b">
        <f t="shared" si="8"/>
        <v>0</v>
      </c>
    </row>
    <row r="414">
      <c r="F414" s="8">
        <v>411.0</v>
      </c>
      <c r="G414" s="11">
        <f t="shared" si="1"/>
        <v>1903125</v>
      </c>
      <c r="H414" s="9">
        <f>INT(IF(AND('Lån Översikt'!$D$7="JA", 'Lån Översikt'!$D$11="JA", 'Lån Översikt'!$D$8="JA"), (G414*(('Lån Översikt'!$C$7/100*'Lån Översikt'!$C$11/100)-'Lån Översikt'!$C$8/100))/12, IF(AND('Lån Översikt'!$D$7="JA", 'Lån Översikt'!$D$11="JA", 'Lån Översikt'!$D$8="NEJ"), (G414*(('Lån Översikt'!$C$7/100*'Lån Översikt'!$C$11/100))/12), 0)))
</f>
        <v>4864</v>
      </c>
      <c r="I414" s="8">
        <f t="shared" si="2"/>
        <v>4712</v>
      </c>
      <c r="J414" s="8">
        <f>IF(AND(P414, O414), 0, IF(O414, INT((('Lån Översikt'!$C$5 * 1 / 100) / 12)), INT((('Lån Översikt'!$C$5 * 'Lån Översikt'!$C$15 / 100) / 12))))
</f>
        <v>3125</v>
      </c>
      <c r="K414" s="8">
        <f t="shared" si="3"/>
        <v>4166</v>
      </c>
      <c r="L414" s="8">
        <f t="shared" si="4"/>
        <v>16867</v>
      </c>
      <c r="M414" s="8">
        <f>(L414 + 'Lån Översikt'!$D$50)</f>
        <v>38816</v>
      </c>
      <c r="N414" s="8">
        <f>IF('Lån Översikt'!$D$22 = "JA", 
    IF(Q414 = TRUE, 'Lån Översikt'!$D$24 - M414, 'Lån Översikt'!$D$24 - M414 + 18300), 
    'Lån Översikt'!$D$24 - M414)
</f>
        <v>10984</v>
      </c>
      <c r="O414" s="25" t="b">
        <f t="shared" si="5"/>
        <v>1</v>
      </c>
      <c r="P414" s="26" t="b">
        <f t="shared" si="6"/>
        <v>0</v>
      </c>
      <c r="Q414" s="27" t="b">
        <f t="shared" si="8"/>
        <v>0</v>
      </c>
    </row>
    <row r="415">
      <c r="F415" s="8">
        <v>412.0</v>
      </c>
      <c r="G415" s="11">
        <f t="shared" si="1"/>
        <v>1900000</v>
      </c>
      <c r="H415" s="9">
        <f>INT(IF(AND('Lån Översikt'!$D$7="JA", 'Lån Översikt'!$D$11="JA", 'Lån Översikt'!$D$8="JA"), (G415*(('Lån Översikt'!$C$7/100*'Lån Översikt'!$C$11/100)-'Lån Översikt'!$C$8/100))/12, IF(AND('Lån Översikt'!$D$7="JA", 'Lån Översikt'!$D$11="JA", 'Lån Översikt'!$D$8="NEJ"), (G415*(('Lån Översikt'!$C$7/100*'Lån Översikt'!$C$11/100))/12), 0)))
</f>
        <v>4856</v>
      </c>
      <c r="I415" s="8">
        <f t="shared" si="2"/>
        <v>4712</v>
      </c>
      <c r="J415" s="8">
        <f>IF(AND(P415, O415), 0, IF(O415, INT((('Lån Översikt'!$C$5 * 1 / 100) / 12)), INT((('Lån Översikt'!$C$5 * 'Lån Översikt'!$C$15 / 100) / 12))))
</f>
        <v>3125</v>
      </c>
      <c r="K415" s="8">
        <f t="shared" si="3"/>
        <v>4166</v>
      </c>
      <c r="L415" s="8">
        <f t="shared" si="4"/>
        <v>16859</v>
      </c>
      <c r="M415" s="8">
        <f>(L415 + 'Lån Översikt'!$D$50)</f>
        <v>38808</v>
      </c>
      <c r="N415" s="8">
        <f>IF('Lån Översikt'!$D$22 = "JA", 
    IF(Q415 = TRUE, 'Lån Översikt'!$D$24 - M415, 'Lån Översikt'!$D$24 - M415 + 18300), 
    'Lån Översikt'!$D$24 - M415)
</f>
        <v>10992</v>
      </c>
      <c r="O415" s="25" t="b">
        <f t="shared" si="5"/>
        <v>1</v>
      </c>
      <c r="P415" s="26" t="b">
        <f t="shared" si="6"/>
        <v>0</v>
      </c>
      <c r="Q415" s="27" t="b">
        <f t="shared" si="8"/>
        <v>0</v>
      </c>
    </row>
    <row r="416">
      <c r="F416" s="8">
        <v>413.0</v>
      </c>
      <c r="G416" s="11">
        <f t="shared" si="1"/>
        <v>1896875</v>
      </c>
      <c r="H416" s="9">
        <f>INT(IF(AND('Lån Översikt'!$D$7="JA", 'Lån Översikt'!$D$11="JA", 'Lån Översikt'!$D$8="JA"), (G416*(('Lån Översikt'!$C$7/100*'Lån Översikt'!$C$11/100)-'Lån Översikt'!$C$8/100))/12, IF(AND('Lån Översikt'!$D$7="JA", 'Lån Översikt'!$D$11="JA", 'Lån Översikt'!$D$8="NEJ"), (G416*(('Lån Översikt'!$C$7/100*'Lån Översikt'!$C$11/100))/12), 0)))
</f>
        <v>4848</v>
      </c>
      <c r="I416" s="8">
        <f t="shared" si="2"/>
        <v>4712</v>
      </c>
      <c r="J416" s="8">
        <f>IF(AND(P416, O416), 0, IF(O416, INT((('Lån Översikt'!$C$5 * 1 / 100) / 12)), INT((('Lån Översikt'!$C$5 * 'Lån Översikt'!$C$15 / 100) / 12))))
</f>
        <v>3125</v>
      </c>
      <c r="K416" s="8">
        <f t="shared" si="3"/>
        <v>4166</v>
      </c>
      <c r="L416" s="8">
        <f t="shared" si="4"/>
        <v>16851</v>
      </c>
      <c r="M416" s="8">
        <f>(L416 + 'Lån Översikt'!$D$50)</f>
        <v>38800</v>
      </c>
      <c r="N416" s="8">
        <f>IF('Lån Översikt'!$D$22 = "JA", 
    IF(Q416 = TRUE, 'Lån Översikt'!$D$24 - M416, 'Lån Översikt'!$D$24 - M416 + 18300), 
    'Lån Översikt'!$D$24 - M416)
</f>
        <v>11000</v>
      </c>
      <c r="O416" s="25" t="b">
        <f t="shared" si="5"/>
        <v>1</v>
      </c>
      <c r="P416" s="26" t="b">
        <f t="shared" si="6"/>
        <v>0</v>
      </c>
      <c r="Q416" s="27" t="b">
        <f t="shared" si="8"/>
        <v>0</v>
      </c>
    </row>
    <row r="417">
      <c r="F417" s="8">
        <v>414.0</v>
      </c>
      <c r="G417" s="11">
        <f t="shared" si="1"/>
        <v>1893750</v>
      </c>
      <c r="H417" s="9">
        <f>INT(IF(AND('Lån Översikt'!$D$7="JA", 'Lån Översikt'!$D$11="JA", 'Lån Översikt'!$D$8="JA"), (G417*(('Lån Översikt'!$C$7/100*'Lån Översikt'!$C$11/100)-'Lån Översikt'!$C$8/100))/12, IF(AND('Lån Översikt'!$D$7="JA", 'Lån Översikt'!$D$11="JA", 'Lån Översikt'!$D$8="NEJ"), (G417*(('Lån Översikt'!$C$7/100*'Lån Översikt'!$C$11/100))/12), 0)))
</f>
        <v>4840</v>
      </c>
      <c r="I417" s="8">
        <f t="shared" si="2"/>
        <v>4712</v>
      </c>
      <c r="J417" s="8">
        <f>IF(AND(P417, O417), 0, IF(O417, INT((('Lån Översikt'!$C$5 * 1 / 100) / 12)), INT((('Lån Översikt'!$C$5 * 'Lån Översikt'!$C$15 / 100) / 12))))
</f>
        <v>3125</v>
      </c>
      <c r="K417" s="8">
        <f t="shared" si="3"/>
        <v>4166</v>
      </c>
      <c r="L417" s="8">
        <f t="shared" si="4"/>
        <v>16843</v>
      </c>
      <c r="M417" s="8">
        <f>(L417 + 'Lån Översikt'!$D$50)</f>
        <v>38792</v>
      </c>
      <c r="N417" s="8">
        <f>IF('Lån Översikt'!$D$22 = "JA", 
    IF(Q417 = TRUE, 'Lån Översikt'!$D$24 - M417, 'Lån Översikt'!$D$24 - M417 + 18300), 
    'Lån Översikt'!$D$24 - M417)
</f>
        <v>11008</v>
      </c>
      <c r="O417" s="25" t="b">
        <f t="shared" si="5"/>
        <v>1</v>
      </c>
      <c r="P417" s="26" t="b">
        <f t="shared" si="6"/>
        <v>0</v>
      </c>
      <c r="Q417" s="27" t="b">
        <f t="shared" si="8"/>
        <v>0</v>
      </c>
    </row>
    <row r="418">
      <c r="F418" s="8">
        <v>415.0</v>
      </c>
      <c r="G418" s="11">
        <f t="shared" si="1"/>
        <v>1890625</v>
      </c>
      <c r="H418" s="9">
        <f>INT(IF(AND('Lån Översikt'!$D$7="JA", 'Lån Översikt'!$D$11="JA", 'Lån Översikt'!$D$8="JA"), (G418*(('Lån Översikt'!$C$7/100*'Lån Översikt'!$C$11/100)-'Lån Översikt'!$C$8/100))/12, IF(AND('Lån Översikt'!$D$7="JA", 'Lån Översikt'!$D$11="JA", 'Lån Översikt'!$D$8="NEJ"), (G418*(('Lån Översikt'!$C$7/100*'Lån Översikt'!$C$11/100))/12), 0)))
</f>
        <v>4832</v>
      </c>
      <c r="I418" s="8">
        <f t="shared" si="2"/>
        <v>4712</v>
      </c>
      <c r="J418" s="8">
        <f>IF(AND(P418, O418), 0, IF(O418, INT((('Lån Översikt'!$C$5 * 1 / 100) / 12)), INT((('Lån Översikt'!$C$5 * 'Lån Översikt'!$C$15 / 100) / 12))))
</f>
        <v>3125</v>
      </c>
      <c r="K418" s="8">
        <f t="shared" si="3"/>
        <v>4166</v>
      </c>
      <c r="L418" s="8">
        <f t="shared" si="4"/>
        <v>16835</v>
      </c>
      <c r="M418" s="8">
        <f>(L418 + 'Lån Översikt'!$D$50)</f>
        <v>38784</v>
      </c>
      <c r="N418" s="8">
        <f>IF('Lån Översikt'!$D$22 = "JA", 
    IF(Q418 = TRUE, 'Lån Översikt'!$D$24 - M418, 'Lån Översikt'!$D$24 - M418 + 18300), 
    'Lån Översikt'!$D$24 - M418)
</f>
        <v>11016</v>
      </c>
      <c r="O418" s="25" t="b">
        <f t="shared" si="5"/>
        <v>1</v>
      </c>
      <c r="P418" s="26" t="b">
        <f t="shared" si="6"/>
        <v>0</v>
      </c>
      <c r="Q418" s="27" t="b">
        <f t="shared" si="8"/>
        <v>0</v>
      </c>
    </row>
    <row r="419">
      <c r="F419" s="8">
        <v>416.0</v>
      </c>
      <c r="G419" s="11">
        <f t="shared" si="1"/>
        <v>1887500</v>
      </c>
      <c r="H419" s="9">
        <f>INT(IF(AND('Lån Översikt'!$D$7="JA", 'Lån Översikt'!$D$11="JA", 'Lån Översikt'!$D$8="JA"), (G419*(('Lån Översikt'!$C$7/100*'Lån Översikt'!$C$11/100)-'Lån Översikt'!$C$8/100))/12, IF(AND('Lån Översikt'!$D$7="JA", 'Lån Översikt'!$D$11="JA", 'Lån Översikt'!$D$8="NEJ"), (G419*(('Lån Översikt'!$C$7/100*'Lån Översikt'!$C$11/100))/12), 0)))
</f>
        <v>4824</v>
      </c>
      <c r="I419" s="8">
        <f t="shared" si="2"/>
        <v>4712</v>
      </c>
      <c r="J419" s="8">
        <f>IF(AND(P419, O419), 0, IF(O419, INT((('Lån Översikt'!$C$5 * 1 / 100) / 12)), INT((('Lån Översikt'!$C$5 * 'Lån Översikt'!$C$15 / 100) / 12))))
</f>
        <v>3125</v>
      </c>
      <c r="K419" s="8">
        <f t="shared" si="3"/>
        <v>4166</v>
      </c>
      <c r="L419" s="8">
        <f t="shared" si="4"/>
        <v>16827</v>
      </c>
      <c r="M419" s="8">
        <f>(L419 + 'Lån Översikt'!$D$50)</f>
        <v>38776</v>
      </c>
      <c r="N419" s="8">
        <f>IF('Lån Översikt'!$D$22 = "JA", 
    IF(Q419 = TRUE, 'Lån Översikt'!$D$24 - M419, 'Lån Översikt'!$D$24 - M419 + 18300), 
    'Lån Översikt'!$D$24 - M419)
</f>
        <v>11024</v>
      </c>
      <c r="O419" s="25" t="b">
        <f t="shared" si="5"/>
        <v>1</v>
      </c>
      <c r="P419" s="26" t="b">
        <f t="shared" si="6"/>
        <v>0</v>
      </c>
      <c r="Q419" s="27" t="b">
        <f t="shared" si="8"/>
        <v>0</v>
      </c>
    </row>
    <row r="420">
      <c r="F420" s="8">
        <v>417.0</v>
      </c>
      <c r="G420" s="11">
        <f t="shared" si="1"/>
        <v>1884375</v>
      </c>
      <c r="H420" s="9">
        <f>INT(IF(AND('Lån Översikt'!$D$7="JA", 'Lån Översikt'!$D$11="JA", 'Lån Översikt'!$D$8="JA"), (G420*(('Lån Översikt'!$C$7/100*'Lån Översikt'!$C$11/100)-'Lån Översikt'!$C$8/100))/12, IF(AND('Lån Översikt'!$D$7="JA", 'Lån Översikt'!$D$11="JA", 'Lån Översikt'!$D$8="NEJ"), (G420*(('Lån Översikt'!$C$7/100*'Lån Översikt'!$C$11/100))/12), 0)))
</f>
        <v>4816</v>
      </c>
      <c r="I420" s="8">
        <f t="shared" si="2"/>
        <v>4712</v>
      </c>
      <c r="J420" s="8">
        <f>IF(AND(P420, O420), 0, IF(O420, INT((('Lån Översikt'!$C$5 * 1 / 100) / 12)), INT((('Lån Översikt'!$C$5 * 'Lån Översikt'!$C$15 / 100) / 12))))
</f>
        <v>3125</v>
      </c>
      <c r="K420" s="8">
        <f t="shared" si="3"/>
        <v>4166</v>
      </c>
      <c r="L420" s="8">
        <f t="shared" si="4"/>
        <v>16819</v>
      </c>
      <c r="M420" s="8">
        <f>(L420 + 'Lån Översikt'!$D$50)</f>
        <v>38768</v>
      </c>
      <c r="N420" s="8">
        <f>IF('Lån Översikt'!$D$22 = "JA", 
    IF(Q420 = TRUE, 'Lån Översikt'!$D$24 - M420, 'Lån Översikt'!$D$24 - M420 + 18300), 
    'Lån Översikt'!$D$24 - M420)
</f>
        <v>11032</v>
      </c>
      <c r="O420" s="25" t="b">
        <f t="shared" si="5"/>
        <v>1</v>
      </c>
      <c r="P420" s="26" t="b">
        <f t="shared" si="6"/>
        <v>0</v>
      </c>
      <c r="Q420" s="27" t="b">
        <f t="shared" si="8"/>
        <v>0</v>
      </c>
    </row>
    <row r="421">
      <c r="F421" s="8">
        <v>418.0</v>
      </c>
      <c r="G421" s="11">
        <f t="shared" si="1"/>
        <v>1881250</v>
      </c>
      <c r="H421" s="9">
        <f>INT(IF(AND('Lån Översikt'!$D$7="JA", 'Lån Översikt'!$D$11="JA", 'Lån Översikt'!$D$8="JA"), (G421*(('Lån Översikt'!$C$7/100*'Lån Översikt'!$C$11/100)-'Lån Översikt'!$C$8/100))/12, IF(AND('Lån Översikt'!$D$7="JA", 'Lån Översikt'!$D$11="JA", 'Lån Översikt'!$D$8="NEJ"), (G421*(('Lån Översikt'!$C$7/100*'Lån Översikt'!$C$11/100))/12), 0)))
</f>
        <v>4808</v>
      </c>
      <c r="I421" s="8">
        <f t="shared" si="2"/>
        <v>4712</v>
      </c>
      <c r="J421" s="8">
        <f>IF(AND(P421, O421), 0, IF(O421, INT((('Lån Översikt'!$C$5 * 1 / 100) / 12)), INT((('Lån Översikt'!$C$5 * 'Lån Översikt'!$C$15 / 100) / 12))))
</f>
        <v>3125</v>
      </c>
      <c r="K421" s="8">
        <f t="shared" si="3"/>
        <v>4166</v>
      </c>
      <c r="L421" s="8">
        <f t="shared" si="4"/>
        <v>16811</v>
      </c>
      <c r="M421" s="8">
        <f>(L421 + 'Lån Översikt'!$D$50)</f>
        <v>38760</v>
      </c>
      <c r="N421" s="8">
        <f>IF('Lån Översikt'!$D$22 = "JA", 
    IF(Q421 = TRUE, 'Lån Översikt'!$D$24 - M421, 'Lån Översikt'!$D$24 - M421 + 18300), 
    'Lån Översikt'!$D$24 - M421)
</f>
        <v>11040</v>
      </c>
      <c r="O421" s="25" t="b">
        <f t="shared" si="5"/>
        <v>1</v>
      </c>
      <c r="P421" s="26" t="b">
        <f t="shared" si="6"/>
        <v>0</v>
      </c>
      <c r="Q421" s="27" t="b">
        <f t="shared" si="8"/>
        <v>0</v>
      </c>
    </row>
    <row r="422">
      <c r="F422" s="8">
        <v>419.0</v>
      </c>
      <c r="G422" s="11">
        <f t="shared" si="1"/>
        <v>1878125</v>
      </c>
      <c r="H422" s="9">
        <f>INT(IF(AND('Lån Översikt'!$D$7="JA", 'Lån Översikt'!$D$11="JA", 'Lån Översikt'!$D$8="JA"), (G422*(('Lån Översikt'!$C$7/100*'Lån Översikt'!$C$11/100)-'Lån Översikt'!$C$8/100))/12, IF(AND('Lån Översikt'!$D$7="JA", 'Lån Översikt'!$D$11="JA", 'Lån Översikt'!$D$8="NEJ"), (G422*(('Lån Översikt'!$C$7/100*'Lån Översikt'!$C$11/100))/12), 0)))
</f>
        <v>4800</v>
      </c>
      <c r="I422" s="8">
        <f t="shared" si="2"/>
        <v>4712</v>
      </c>
      <c r="J422" s="8">
        <f>IF(AND(P422, O422), 0, IF(O422, INT((('Lån Översikt'!$C$5 * 1 / 100) / 12)), INT((('Lån Översikt'!$C$5 * 'Lån Översikt'!$C$15 / 100) / 12))))
</f>
        <v>3125</v>
      </c>
      <c r="K422" s="8">
        <f t="shared" si="3"/>
        <v>4166</v>
      </c>
      <c r="L422" s="8">
        <f t="shared" si="4"/>
        <v>16803</v>
      </c>
      <c r="M422" s="8">
        <f>(L422 + 'Lån Översikt'!$D$50)</f>
        <v>38752</v>
      </c>
      <c r="N422" s="8">
        <f>IF('Lån Översikt'!$D$22 = "JA", 
    IF(Q422 = TRUE, 'Lån Översikt'!$D$24 - M422, 'Lån Översikt'!$D$24 - M422 + 18300), 
    'Lån Översikt'!$D$24 - M422)
</f>
        <v>11048</v>
      </c>
      <c r="O422" s="25" t="b">
        <f t="shared" si="5"/>
        <v>1</v>
      </c>
      <c r="P422" s="26" t="b">
        <f t="shared" si="6"/>
        <v>0</v>
      </c>
      <c r="Q422" s="27" t="b">
        <f t="shared" si="8"/>
        <v>0</v>
      </c>
    </row>
    <row r="423">
      <c r="F423" s="8">
        <v>420.0</v>
      </c>
      <c r="G423" s="11">
        <f t="shared" si="1"/>
        <v>1875000</v>
      </c>
      <c r="H423" s="9">
        <f>INT(IF(AND('Lån Översikt'!$D$7="JA", 'Lån Översikt'!$D$11="JA", 'Lån Översikt'!$D$8="JA"), (G423*(('Lån Översikt'!$C$7/100*'Lån Översikt'!$C$11/100)-'Lån Översikt'!$C$8/100))/12, IF(AND('Lån Översikt'!$D$7="JA", 'Lån Översikt'!$D$11="JA", 'Lån Översikt'!$D$8="NEJ"), (G423*(('Lån Översikt'!$C$7/100*'Lån Översikt'!$C$11/100))/12), 0)))
</f>
        <v>4792</v>
      </c>
      <c r="I423" s="8">
        <f t="shared" si="2"/>
        <v>4712</v>
      </c>
      <c r="J423" s="8">
        <f>IF(AND(P423, O423), 0, IF(O423, INT((('Lån Översikt'!$C$5 * 1 / 100) / 12)), INT((('Lån Översikt'!$C$5 * 'Lån Översikt'!$C$15 / 100) / 12))))
</f>
        <v>3125</v>
      </c>
      <c r="K423" s="8">
        <f t="shared" si="3"/>
        <v>4166</v>
      </c>
      <c r="L423" s="8">
        <f t="shared" si="4"/>
        <v>16795</v>
      </c>
      <c r="M423" s="8">
        <f>(L423 + 'Lån Översikt'!$D$50)</f>
        <v>38744</v>
      </c>
      <c r="N423" s="8">
        <f>IF('Lån Översikt'!$D$22 = "JA", 
    IF(Q423 = TRUE, 'Lån Översikt'!$D$24 - M423, 'Lån Översikt'!$D$24 - M423 + 18300), 
    'Lån Översikt'!$D$24 - M423)
</f>
        <v>11056</v>
      </c>
      <c r="O423" s="25" t="b">
        <f t="shared" si="5"/>
        <v>1</v>
      </c>
      <c r="P423" s="26" t="b">
        <f t="shared" si="6"/>
        <v>0</v>
      </c>
      <c r="Q423" s="27" t="b">
        <f t="shared" si="8"/>
        <v>0</v>
      </c>
    </row>
    <row r="424">
      <c r="F424" s="8">
        <v>421.0</v>
      </c>
      <c r="G424" s="11">
        <f t="shared" si="1"/>
        <v>1871875</v>
      </c>
      <c r="H424" s="9">
        <f>INT(IF(AND('Lån Översikt'!$D$7="JA", 'Lån Översikt'!$D$11="JA", 'Lån Översikt'!$D$8="JA"), (G424*(('Lån Översikt'!$C$7/100*'Lån Översikt'!$C$11/100)-'Lån Översikt'!$C$8/100))/12, IF(AND('Lån Översikt'!$D$7="JA", 'Lån Översikt'!$D$11="JA", 'Lån Översikt'!$D$8="NEJ"), (G424*(('Lån Översikt'!$C$7/100*'Lån Översikt'!$C$11/100))/12), 0)))
</f>
        <v>4784</v>
      </c>
      <c r="I424" s="8">
        <f t="shared" si="2"/>
        <v>4712</v>
      </c>
      <c r="J424" s="8">
        <f>IF(AND(P424, O424), 0, IF(O424, INT((('Lån Översikt'!$C$5 * 1 / 100) / 12)), INT((('Lån Översikt'!$C$5 * 'Lån Översikt'!$C$15 / 100) / 12))))
</f>
        <v>0</v>
      </c>
      <c r="K424" s="8">
        <f t="shared" si="3"/>
        <v>4166</v>
      </c>
      <c r="L424" s="8">
        <f t="shared" si="4"/>
        <v>13662</v>
      </c>
      <c r="M424" s="8">
        <f>(L424 + 'Lån Översikt'!$D$50)</f>
        <v>35611</v>
      </c>
      <c r="N424" s="8">
        <f>IF('Lån Översikt'!$D$22 = "JA", 
    IF(Q424 = TRUE, 'Lån Översikt'!$D$24 - M424, 'Lån Översikt'!$D$24 - M424 + 18300), 
    'Lån Översikt'!$D$24 - M424)
</f>
        <v>14189</v>
      </c>
      <c r="O424" s="25" t="b">
        <f t="shared" si="5"/>
        <v>1</v>
      </c>
      <c r="P424" s="26" t="b">
        <f t="shared" si="6"/>
        <v>1</v>
      </c>
      <c r="Q424" s="27" t="b">
        <f t="shared" si="8"/>
        <v>0</v>
      </c>
    </row>
    <row r="425">
      <c r="F425" s="8">
        <v>422.0</v>
      </c>
      <c r="G425" s="11">
        <f t="shared" si="1"/>
        <v>1871875</v>
      </c>
      <c r="H425" s="9">
        <f>INT(IF(AND('Lån Översikt'!$D$7="JA", 'Lån Översikt'!$D$11="JA", 'Lån Översikt'!$D$8="JA"), (G425*(('Lån Översikt'!$C$7/100*'Lån Översikt'!$C$11/100)-'Lån Översikt'!$C$8/100))/12, IF(AND('Lån Översikt'!$D$7="JA", 'Lån Översikt'!$D$11="JA", 'Lån Översikt'!$D$8="NEJ"), (G425*(('Lån Översikt'!$C$7/100*'Lån Översikt'!$C$11/100))/12), 0)))
</f>
        <v>4784</v>
      </c>
      <c r="I425" s="8">
        <f t="shared" si="2"/>
        <v>4712</v>
      </c>
      <c r="J425" s="8">
        <f>IF(AND(P425, O425), 0, IF(O425, INT((('Lån Översikt'!$C$5 * 1 / 100) / 12)), INT((('Lån Översikt'!$C$5 * 'Lån Översikt'!$C$15 / 100) / 12))))
</f>
        <v>0</v>
      </c>
      <c r="K425" s="8">
        <f t="shared" si="3"/>
        <v>4166</v>
      </c>
      <c r="L425" s="8">
        <f t="shared" si="4"/>
        <v>13662</v>
      </c>
      <c r="M425" s="8">
        <f>(L425 + 'Lån Översikt'!$D$50)</f>
        <v>35611</v>
      </c>
      <c r="N425" s="8">
        <f>IF('Lån Översikt'!$D$22 = "JA", 
    IF(Q425 = TRUE, 'Lån Översikt'!$D$24 - M425, 'Lån Översikt'!$D$24 - M425 + 18300), 
    'Lån Översikt'!$D$24 - M425)
</f>
        <v>14189</v>
      </c>
      <c r="O425" s="25" t="b">
        <f t="shared" si="5"/>
        <v>1</v>
      </c>
      <c r="P425" s="26" t="b">
        <f t="shared" si="6"/>
        <v>1</v>
      </c>
      <c r="Q425" s="27" t="b">
        <f t="shared" si="8"/>
        <v>0</v>
      </c>
    </row>
    <row r="426">
      <c r="F426" s="8">
        <v>423.0</v>
      </c>
      <c r="G426" s="11">
        <f t="shared" si="1"/>
        <v>1871875</v>
      </c>
      <c r="H426" s="9">
        <f>INT(IF(AND('Lån Översikt'!$D$7="JA", 'Lån Översikt'!$D$11="JA", 'Lån Översikt'!$D$8="JA"), (G426*(('Lån Översikt'!$C$7/100*'Lån Översikt'!$C$11/100)-'Lån Översikt'!$C$8/100))/12, IF(AND('Lån Översikt'!$D$7="JA", 'Lån Översikt'!$D$11="JA", 'Lån Översikt'!$D$8="NEJ"), (G426*(('Lån Översikt'!$C$7/100*'Lån Översikt'!$C$11/100))/12), 0)))
</f>
        <v>4784</v>
      </c>
      <c r="I426" s="8">
        <f t="shared" si="2"/>
        <v>4712</v>
      </c>
      <c r="J426" s="8">
        <f>IF(AND(P426, O426), 0, IF(O426, INT((('Lån Översikt'!$C$5 * 1 / 100) / 12)), INT((('Lån Översikt'!$C$5 * 'Lån Översikt'!$C$15 / 100) / 12))))
</f>
        <v>0</v>
      </c>
      <c r="K426" s="8">
        <f t="shared" si="3"/>
        <v>4166</v>
      </c>
      <c r="L426" s="8">
        <f t="shared" si="4"/>
        <v>13662</v>
      </c>
      <c r="M426" s="8">
        <f>(L426 + 'Lån Översikt'!$D$50)</f>
        <v>35611</v>
      </c>
      <c r="N426" s="8">
        <f>IF('Lån Översikt'!$D$22 = "JA", 
    IF(Q426 = TRUE, 'Lån Översikt'!$D$24 - M426, 'Lån Översikt'!$D$24 - M426 + 18300), 
    'Lån Översikt'!$D$24 - M426)
</f>
        <v>14189</v>
      </c>
      <c r="O426" s="25" t="b">
        <f t="shared" si="5"/>
        <v>1</v>
      </c>
      <c r="P426" s="26" t="b">
        <f t="shared" si="6"/>
        <v>1</v>
      </c>
      <c r="Q426" s="27" t="b">
        <f t="shared" si="8"/>
        <v>0</v>
      </c>
    </row>
    <row r="427">
      <c r="F427" s="8">
        <v>424.0</v>
      </c>
      <c r="G427" s="11">
        <f t="shared" si="1"/>
        <v>1871875</v>
      </c>
      <c r="H427" s="9">
        <f>INT(IF(AND('Lån Översikt'!$D$7="JA", 'Lån Översikt'!$D$11="JA", 'Lån Översikt'!$D$8="JA"), (G427*(('Lån Översikt'!$C$7/100*'Lån Översikt'!$C$11/100)-'Lån Översikt'!$C$8/100))/12, IF(AND('Lån Översikt'!$D$7="JA", 'Lån Översikt'!$D$11="JA", 'Lån Översikt'!$D$8="NEJ"), (G427*(('Lån Översikt'!$C$7/100*'Lån Översikt'!$C$11/100))/12), 0)))
</f>
        <v>4784</v>
      </c>
      <c r="I427" s="8">
        <f t="shared" si="2"/>
        <v>4712</v>
      </c>
      <c r="J427" s="8">
        <f>IF(AND(P427, O427), 0, IF(O427, INT((('Lån Översikt'!$C$5 * 1 / 100) / 12)), INT((('Lån Översikt'!$C$5 * 'Lån Översikt'!$C$15 / 100) / 12))))
</f>
        <v>0</v>
      </c>
      <c r="K427" s="8">
        <f t="shared" si="3"/>
        <v>4166</v>
      </c>
      <c r="L427" s="8">
        <f t="shared" si="4"/>
        <v>13662</v>
      </c>
      <c r="M427" s="8">
        <f>(L427 + 'Lån Översikt'!$D$50)</f>
        <v>35611</v>
      </c>
      <c r="N427" s="8">
        <f>IF('Lån Översikt'!$D$22 = "JA", 
    IF(Q427 = TRUE, 'Lån Översikt'!$D$24 - M427, 'Lån Översikt'!$D$24 - M427 + 18300), 
    'Lån Översikt'!$D$24 - M427)
</f>
        <v>14189</v>
      </c>
      <c r="O427" s="25" t="b">
        <f t="shared" si="5"/>
        <v>1</v>
      </c>
      <c r="P427" s="26" t="b">
        <f t="shared" si="6"/>
        <v>1</v>
      </c>
      <c r="Q427" s="27" t="b">
        <f t="shared" si="8"/>
        <v>0</v>
      </c>
    </row>
    <row r="428">
      <c r="F428" s="8">
        <v>425.0</v>
      </c>
      <c r="G428" s="11">
        <f t="shared" si="1"/>
        <v>1871875</v>
      </c>
      <c r="H428" s="9">
        <f>INT(IF(AND('Lån Översikt'!$D$7="JA", 'Lån Översikt'!$D$11="JA", 'Lån Översikt'!$D$8="JA"), (G428*(('Lån Översikt'!$C$7/100*'Lån Översikt'!$C$11/100)-'Lån Översikt'!$C$8/100))/12, IF(AND('Lån Översikt'!$D$7="JA", 'Lån Översikt'!$D$11="JA", 'Lån Översikt'!$D$8="NEJ"), (G428*(('Lån Översikt'!$C$7/100*'Lån Översikt'!$C$11/100))/12), 0)))
</f>
        <v>4784</v>
      </c>
      <c r="I428" s="8">
        <f t="shared" si="2"/>
        <v>4712</v>
      </c>
      <c r="J428" s="8">
        <f>IF(AND(P428, O428), 0, IF(O428, INT((('Lån Översikt'!$C$5 * 1 / 100) / 12)), INT((('Lån Översikt'!$C$5 * 'Lån Översikt'!$C$15 / 100) / 12))))
</f>
        <v>0</v>
      </c>
      <c r="K428" s="8">
        <f t="shared" si="3"/>
        <v>4166</v>
      </c>
      <c r="L428" s="8">
        <f t="shared" si="4"/>
        <v>13662</v>
      </c>
      <c r="M428" s="8">
        <f>(L428 + 'Lån Översikt'!$D$50)</f>
        <v>35611</v>
      </c>
      <c r="N428" s="8">
        <f>IF('Lån Översikt'!$D$22 = "JA", 
    IF(Q428 = TRUE, 'Lån Översikt'!$D$24 - M428, 'Lån Översikt'!$D$24 - M428 + 18300), 
    'Lån Översikt'!$D$24 - M428)
</f>
        <v>14189</v>
      </c>
      <c r="O428" s="25" t="b">
        <f t="shared" si="5"/>
        <v>1</v>
      </c>
      <c r="P428" s="26" t="b">
        <f t="shared" si="6"/>
        <v>1</v>
      </c>
      <c r="Q428" s="27" t="b">
        <f t="shared" si="8"/>
        <v>0</v>
      </c>
    </row>
    <row r="429">
      <c r="F429" s="8">
        <v>426.0</v>
      </c>
      <c r="G429" s="11">
        <f t="shared" si="1"/>
        <v>1871875</v>
      </c>
      <c r="H429" s="9">
        <f>INT(IF(AND('Lån Översikt'!$D$7="JA", 'Lån Översikt'!$D$11="JA", 'Lån Översikt'!$D$8="JA"), (G429*(('Lån Översikt'!$C$7/100*'Lån Översikt'!$C$11/100)-'Lån Översikt'!$C$8/100))/12, IF(AND('Lån Översikt'!$D$7="JA", 'Lån Översikt'!$D$11="JA", 'Lån Översikt'!$D$8="NEJ"), (G429*(('Lån Översikt'!$C$7/100*'Lån Översikt'!$C$11/100))/12), 0)))
</f>
        <v>4784</v>
      </c>
      <c r="I429" s="8">
        <f t="shared" si="2"/>
        <v>4712</v>
      </c>
      <c r="J429" s="8">
        <f>IF(AND(P429, O429), 0, IF(O429, INT((('Lån Översikt'!$C$5 * 1 / 100) / 12)), INT((('Lån Översikt'!$C$5 * 'Lån Översikt'!$C$15 / 100) / 12))))
</f>
        <v>0</v>
      </c>
      <c r="K429" s="8">
        <f t="shared" si="3"/>
        <v>4166</v>
      </c>
      <c r="L429" s="8">
        <f t="shared" si="4"/>
        <v>13662</v>
      </c>
      <c r="M429" s="8">
        <f>(L429 + 'Lån Översikt'!$D$50)</f>
        <v>35611</v>
      </c>
      <c r="N429" s="8">
        <f>IF('Lån Översikt'!$D$22 = "JA", 
    IF(Q429 = TRUE, 'Lån Översikt'!$D$24 - M429, 'Lån Översikt'!$D$24 - M429 + 18300), 
    'Lån Översikt'!$D$24 - M429)
</f>
        <v>14189</v>
      </c>
      <c r="O429" s="25" t="b">
        <f t="shared" si="5"/>
        <v>1</v>
      </c>
      <c r="P429" s="26" t="b">
        <f t="shared" si="6"/>
        <v>1</v>
      </c>
      <c r="Q429" s="27" t="b">
        <f t="shared" si="8"/>
        <v>0</v>
      </c>
    </row>
    <row r="430">
      <c r="F430" s="8">
        <v>427.0</v>
      </c>
      <c r="G430" s="11">
        <f t="shared" si="1"/>
        <v>1871875</v>
      </c>
      <c r="H430" s="9">
        <f>INT(IF(AND('Lån Översikt'!$D$7="JA", 'Lån Översikt'!$D$11="JA", 'Lån Översikt'!$D$8="JA"), (G430*(('Lån Översikt'!$C$7/100*'Lån Översikt'!$C$11/100)-'Lån Översikt'!$C$8/100))/12, IF(AND('Lån Översikt'!$D$7="JA", 'Lån Översikt'!$D$11="JA", 'Lån Översikt'!$D$8="NEJ"), (G430*(('Lån Översikt'!$C$7/100*'Lån Översikt'!$C$11/100))/12), 0)))
</f>
        <v>4784</v>
      </c>
      <c r="I430" s="8">
        <f t="shared" si="2"/>
        <v>4712</v>
      </c>
      <c r="J430" s="8">
        <f>IF(AND(P430, O430), 0, IF(O430, INT((('Lån Översikt'!$C$5 * 1 / 100) / 12)), INT((('Lån Översikt'!$C$5 * 'Lån Översikt'!$C$15 / 100) / 12))))
</f>
        <v>0</v>
      </c>
      <c r="K430" s="8">
        <f t="shared" si="3"/>
        <v>4166</v>
      </c>
      <c r="L430" s="8">
        <f t="shared" si="4"/>
        <v>13662</v>
      </c>
      <c r="M430" s="8">
        <f>(L430 + 'Lån Översikt'!$D$50)</f>
        <v>35611</v>
      </c>
      <c r="N430" s="8">
        <f>IF('Lån Översikt'!$D$22 = "JA", 
    IF(Q430 = TRUE, 'Lån Översikt'!$D$24 - M430, 'Lån Översikt'!$D$24 - M430 + 18300), 
    'Lån Översikt'!$D$24 - M430)
</f>
        <v>14189</v>
      </c>
      <c r="O430" s="25" t="b">
        <f t="shared" si="5"/>
        <v>1</v>
      </c>
      <c r="P430" s="26" t="b">
        <f t="shared" si="6"/>
        <v>1</v>
      </c>
      <c r="Q430" s="27" t="b">
        <f t="shared" si="8"/>
        <v>0</v>
      </c>
    </row>
    <row r="431">
      <c r="F431" s="8">
        <v>428.0</v>
      </c>
      <c r="G431" s="11">
        <f t="shared" si="1"/>
        <v>1871875</v>
      </c>
      <c r="H431" s="9">
        <f>INT(IF(AND('Lån Översikt'!$D$7="JA", 'Lån Översikt'!$D$11="JA", 'Lån Översikt'!$D$8="JA"), (G431*(('Lån Översikt'!$C$7/100*'Lån Översikt'!$C$11/100)-'Lån Översikt'!$C$8/100))/12, IF(AND('Lån Översikt'!$D$7="JA", 'Lån Översikt'!$D$11="JA", 'Lån Översikt'!$D$8="NEJ"), (G431*(('Lån Översikt'!$C$7/100*'Lån Översikt'!$C$11/100))/12), 0)))
</f>
        <v>4784</v>
      </c>
      <c r="I431" s="8">
        <f t="shared" si="2"/>
        <v>4712</v>
      </c>
      <c r="J431" s="8">
        <f>IF(AND(P431, O431), 0, IF(O431, INT((('Lån Översikt'!$C$5 * 1 / 100) / 12)), INT((('Lån Översikt'!$C$5 * 'Lån Översikt'!$C$15 / 100) / 12))))
</f>
        <v>0</v>
      </c>
      <c r="K431" s="8">
        <f t="shared" si="3"/>
        <v>4166</v>
      </c>
      <c r="L431" s="8">
        <f t="shared" si="4"/>
        <v>13662</v>
      </c>
      <c r="M431" s="8">
        <f>(L431 + 'Lån Översikt'!$D$50)</f>
        <v>35611</v>
      </c>
      <c r="N431" s="8">
        <f>IF('Lån Översikt'!$D$22 = "JA", 
    IF(Q431 = TRUE, 'Lån Översikt'!$D$24 - M431, 'Lån Översikt'!$D$24 - M431 + 18300), 
    'Lån Översikt'!$D$24 - M431)
</f>
        <v>14189</v>
      </c>
      <c r="O431" s="25" t="b">
        <f t="shared" si="5"/>
        <v>1</v>
      </c>
      <c r="P431" s="26" t="b">
        <f t="shared" si="6"/>
        <v>1</v>
      </c>
      <c r="Q431" s="27" t="b">
        <f t="shared" si="8"/>
        <v>0</v>
      </c>
    </row>
    <row r="432">
      <c r="F432" s="8">
        <v>429.0</v>
      </c>
      <c r="G432" s="11">
        <f t="shared" si="1"/>
        <v>1871875</v>
      </c>
      <c r="H432" s="9">
        <f>INT(IF(AND('Lån Översikt'!$D$7="JA", 'Lån Översikt'!$D$11="JA", 'Lån Översikt'!$D$8="JA"), (G432*(('Lån Översikt'!$C$7/100*'Lån Översikt'!$C$11/100)-'Lån Översikt'!$C$8/100))/12, IF(AND('Lån Översikt'!$D$7="JA", 'Lån Översikt'!$D$11="JA", 'Lån Översikt'!$D$8="NEJ"), (G432*(('Lån Översikt'!$C$7/100*'Lån Översikt'!$C$11/100))/12), 0)))
</f>
        <v>4784</v>
      </c>
      <c r="I432" s="8">
        <f t="shared" si="2"/>
        <v>4712</v>
      </c>
      <c r="J432" s="8">
        <f>IF(AND(P432, O432), 0, IF(O432, INT((('Lån Översikt'!$C$5 * 1 / 100) / 12)), INT((('Lån Översikt'!$C$5 * 'Lån Översikt'!$C$15 / 100) / 12))))
</f>
        <v>0</v>
      </c>
      <c r="K432" s="8">
        <f t="shared" si="3"/>
        <v>4166</v>
      </c>
      <c r="L432" s="8">
        <f t="shared" si="4"/>
        <v>13662</v>
      </c>
      <c r="M432" s="8">
        <f>(L432 + 'Lån Översikt'!$D$50)</f>
        <v>35611</v>
      </c>
      <c r="N432" s="8">
        <f>IF('Lån Översikt'!$D$22 = "JA", 
    IF(Q432 = TRUE, 'Lån Översikt'!$D$24 - M432, 'Lån Översikt'!$D$24 - M432 + 18300), 
    'Lån Översikt'!$D$24 - M432)
</f>
        <v>14189</v>
      </c>
      <c r="O432" s="25" t="b">
        <f t="shared" si="5"/>
        <v>1</v>
      </c>
      <c r="P432" s="26" t="b">
        <f t="shared" si="6"/>
        <v>1</v>
      </c>
      <c r="Q432" s="27" t="b">
        <f t="shared" si="8"/>
        <v>0</v>
      </c>
    </row>
    <row r="433">
      <c r="F433" s="8">
        <v>430.0</v>
      </c>
      <c r="G433" s="11">
        <f t="shared" si="1"/>
        <v>1871875</v>
      </c>
      <c r="H433" s="9">
        <f>INT(IF(AND('Lån Översikt'!$D$7="JA", 'Lån Översikt'!$D$11="JA", 'Lån Översikt'!$D$8="JA"), (G433*(('Lån Översikt'!$C$7/100*'Lån Översikt'!$C$11/100)-'Lån Översikt'!$C$8/100))/12, IF(AND('Lån Översikt'!$D$7="JA", 'Lån Översikt'!$D$11="JA", 'Lån Översikt'!$D$8="NEJ"), (G433*(('Lån Översikt'!$C$7/100*'Lån Översikt'!$C$11/100))/12), 0)))
</f>
        <v>4784</v>
      </c>
      <c r="I433" s="8">
        <f t="shared" si="2"/>
        <v>4712</v>
      </c>
      <c r="J433" s="8">
        <f>IF(AND(P433, O433), 0, IF(O433, INT((('Lån Översikt'!$C$5 * 1 / 100) / 12)), INT((('Lån Översikt'!$C$5 * 'Lån Översikt'!$C$15 / 100) / 12))))
</f>
        <v>0</v>
      </c>
      <c r="K433" s="8">
        <f t="shared" si="3"/>
        <v>4166</v>
      </c>
      <c r="L433" s="8">
        <f t="shared" si="4"/>
        <v>13662</v>
      </c>
      <c r="M433" s="8">
        <f>(L433 + 'Lån Översikt'!$D$50)</f>
        <v>35611</v>
      </c>
      <c r="N433" s="8">
        <f>IF('Lån Översikt'!$D$22 = "JA", 
    IF(Q433 = TRUE, 'Lån Översikt'!$D$24 - M433, 'Lån Översikt'!$D$24 - M433 + 18300), 
    'Lån Översikt'!$D$24 - M433)
</f>
        <v>14189</v>
      </c>
      <c r="O433" s="25" t="b">
        <f t="shared" si="5"/>
        <v>1</v>
      </c>
      <c r="P433" s="26" t="b">
        <f t="shared" si="6"/>
        <v>1</v>
      </c>
      <c r="Q433" s="27" t="b">
        <f t="shared" si="8"/>
        <v>0</v>
      </c>
    </row>
    <row r="434">
      <c r="F434" s="8">
        <v>431.0</v>
      </c>
      <c r="G434" s="11">
        <f t="shared" si="1"/>
        <v>1871875</v>
      </c>
      <c r="H434" s="9">
        <f>INT(IF(AND('Lån Översikt'!$D$7="JA", 'Lån Översikt'!$D$11="JA", 'Lån Översikt'!$D$8="JA"), (G434*(('Lån Översikt'!$C$7/100*'Lån Översikt'!$C$11/100)-'Lån Översikt'!$C$8/100))/12, IF(AND('Lån Översikt'!$D$7="JA", 'Lån Översikt'!$D$11="JA", 'Lån Översikt'!$D$8="NEJ"), (G434*(('Lån Översikt'!$C$7/100*'Lån Översikt'!$C$11/100))/12), 0)))
</f>
        <v>4784</v>
      </c>
      <c r="I434" s="8">
        <f t="shared" si="2"/>
        <v>4712</v>
      </c>
      <c r="J434" s="8">
        <f>IF(AND(P434, O434), 0, IF(O434, INT((('Lån Översikt'!$C$5 * 1 / 100) / 12)), INT((('Lån Översikt'!$C$5 * 'Lån Översikt'!$C$15 / 100) / 12))))
</f>
        <v>0</v>
      </c>
      <c r="K434" s="8">
        <f t="shared" si="3"/>
        <v>4166</v>
      </c>
      <c r="L434" s="8">
        <f t="shared" si="4"/>
        <v>13662</v>
      </c>
      <c r="M434" s="8">
        <f>(L434 + 'Lån Översikt'!$D$50)</f>
        <v>35611</v>
      </c>
      <c r="N434" s="8">
        <f>IF('Lån Översikt'!$D$22 = "JA", 
    IF(Q434 = TRUE, 'Lån Översikt'!$D$24 - M434, 'Lån Översikt'!$D$24 - M434 + 18300), 
    'Lån Översikt'!$D$24 - M434)
</f>
        <v>14189</v>
      </c>
      <c r="O434" s="25" t="b">
        <f t="shared" si="5"/>
        <v>1</v>
      </c>
      <c r="P434" s="26" t="b">
        <f t="shared" si="6"/>
        <v>1</v>
      </c>
      <c r="Q434" s="27" t="b">
        <f t="shared" si="8"/>
        <v>0</v>
      </c>
    </row>
    <row r="435">
      <c r="F435" s="8">
        <v>432.0</v>
      </c>
      <c r="G435" s="11">
        <f t="shared" si="1"/>
        <v>1871875</v>
      </c>
      <c r="H435" s="9">
        <f>INT(IF(AND('Lån Översikt'!$D$7="JA", 'Lån Översikt'!$D$11="JA", 'Lån Översikt'!$D$8="JA"), (G435*(('Lån Översikt'!$C$7/100*'Lån Översikt'!$C$11/100)-'Lån Översikt'!$C$8/100))/12, IF(AND('Lån Översikt'!$D$7="JA", 'Lån Översikt'!$D$11="JA", 'Lån Översikt'!$D$8="NEJ"), (G435*(('Lån Översikt'!$C$7/100*'Lån Översikt'!$C$11/100))/12), 0)))
</f>
        <v>4784</v>
      </c>
      <c r="I435" s="8">
        <f t="shared" si="2"/>
        <v>4712</v>
      </c>
      <c r="J435" s="8">
        <f>IF(AND(P435, O435), 0, IF(O435, INT((('Lån Översikt'!$C$5 * 1 / 100) / 12)), INT((('Lån Översikt'!$C$5 * 'Lån Översikt'!$C$15 / 100) / 12))))
</f>
        <v>0</v>
      </c>
      <c r="K435" s="8">
        <f t="shared" si="3"/>
        <v>4166</v>
      </c>
      <c r="L435" s="8">
        <f t="shared" si="4"/>
        <v>13662</v>
      </c>
      <c r="M435" s="8">
        <f>(L435 + 'Lån Översikt'!$D$50)</f>
        <v>35611</v>
      </c>
      <c r="N435" s="8">
        <f>IF('Lån Översikt'!$D$22 = "JA", 
    IF(Q435 = TRUE, 'Lån Översikt'!$D$24 - M435, 'Lån Översikt'!$D$24 - M435 + 18300), 
    'Lån Översikt'!$D$24 - M435)
</f>
        <v>14189</v>
      </c>
      <c r="O435" s="25" t="b">
        <f t="shared" si="5"/>
        <v>1</v>
      </c>
      <c r="P435" s="26" t="b">
        <f t="shared" si="6"/>
        <v>1</v>
      </c>
      <c r="Q435" s="27" t="b">
        <f t="shared" si="8"/>
        <v>0</v>
      </c>
    </row>
    <row r="436">
      <c r="F436" s="8">
        <v>433.0</v>
      </c>
      <c r="G436" s="11">
        <f t="shared" si="1"/>
        <v>1871875</v>
      </c>
      <c r="H436" s="9">
        <f>INT(IF(AND('Lån Översikt'!$D$7="JA", 'Lån Översikt'!$D$11="JA", 'Lån Översikt'!$D$8="JA"), (G436*(('Lån Översikt'!$C$7/100*'Lån Översikt'!$C$11/100)-'Lån Översikt'!$C$8/100))/12, IF(AND('Lån Översikt'!$D$7="JA", 'Lån Översikt'!$D$11="JA", 'Lån Översikt'!$D$8="NEJ"), (G436*(('Lån Översikt'!$C$7/100*'Lån Översikt'!$C$11/100))/12), 0)))
</f>
        <v>4784</v>
      </c>
      <c r="I436" s="8">
        <f t="shared" si="2"/>
        <v>4712</v>
      </c>
      <c r="J436" s="8">
        <f>IF(AND(P436, O436), 0, IF(O436, INT((('Lån Översikt'!$C$5 * 1 / 100) / 12)), INT((('Lån Översikt'!$C$5 * 'Lån Översikt'!$C$15 / 100) / 12))))
</f>
        <v>0</v>
      </c>
      <c r="K436" s="8">
        <f t="shared" si="3"/>
        <v>4166</v>
      </c>
      <c r="L436" s="8">
        <f t="shared" si="4"/>
        <v>13662</v>
      </c>
      <c r="M436" s="8">
        <f>(L436 + 'Lån Översikt'!$D$50)</f>
        <v>35611</v>
      </c>
      <c r="N436" s="8">
        <f>IF('Lån Översikt'!$D$22 = "JA", 
    IF(Q436 = TRUE, 'Lån Översikt'!$D$24 - M436, 'Lån Översikt'!$D$24 - M436 + 18300), 
    'Lån Översikt'!$D$24 - M436)
</f>
        <v>14189</v>
      </c>
      <c r="O436" s="25" t="b">
        <f t="shared" si="5"/>
        <v>1</v>
      </c>
      <c r="P436" s="26" t="b">
        <f t="shared" si="6"/>
        <v>1</v>
      </c>
      <c r="Q436" s="27" t="b">
        <f t="shared" si="8"/>
        <v>0</v>
      </c>
    </row>
    <row r="437">
      <c r="F437" s="8">
        <v>434.0</v>
      </c>
      <c r="G437" s="11">
        <f t="shared" si="1"/>
        <v>1871875</v>
      </c>
      <c r="H437" s="9">
        <f>INT(IF(AND('Lån Översikt'!$D$7="JA", 'Lån Översikt'!$D$11="JA", 'Lån Översikt'!$D$8="JA"), (G437*(('Lån Översikt'!$C$7/100*'Lån Översikt'!$C$11/100)-'Lån Översikt'!$C$8/100))/12, IF(AND('Lån Översikt'!$D$7="JA", 'Lån Översikt'!$D$11="JA", 'Lån Översikt'!$D$8="NEJ"), (G437*(('Lån Översikt'!$C$7/100*'Lån Översikt'!$C$11/100))/12), 0)))
</f>
        <v>4784</v>
      </c>
      <c r="I437" s="8">
        <f t="shared" si="2"/>
        <v>4712</v>
      </c>
      <c r="J437" s="8">
        <f>IF(AND(P437, O437), 0, IF(O437, INT((('Lån Översikt'!$C$5 * 1 / 100) / 12)), INT((('Lån Översikt'!$C$5 * 'Lån Översikt'!$C$15 / 100) / 12))))
</f>
        <v>0</v>
      </c>
      <c r="K437" s="8">
        <f t="shared" si="3"/>
        <v>4166</v>
      </c>
      <c r="L437" s="8">
        <f t="shared" si="4"/>
        <v>13662</v>
      </c>
      <c r="M437" s="8">
        <f>(L437 + 'Lån Översikt'!$D$50)</f>
        <v>35611</v>
      </c>
      <c r="N437" s="8">
        <f>IF('Lån Översikt'!$D$22 = "JA", 
    IF(Q437 = TRUE, 'Lån Översikt'!$D$24 - M437, 'Lån Översikt'!$D$24 - M437 + 18300), 
    'Lån Översikt'!$D$24 - M437)
</f>
        <v>14189</v>
      </c>
      <c r="O437" s="25" t="b">
        <f t="shared" si="5"/>
        <v>1</v>
      </c>
      <c r="P437" s="26" t="b">
        <f t="shared" si="6"/>
        <v>1</v>
      </c>
      <c r="Q437" s="27" t="b">
        <f t="shared" si="8"/>
        <v>0</v>
      </c>
    </row>
    <row r="438">
      <c r="F438" s="8">
        <v>435.0</v>
      </c>
      <c r="G438" s="11">
        <f t="shared" si="1"/>
        <v>1871875</v>
      </c>
      <c r="H438" s="9">
        <f>INT(IF(AND('Lån Översikt'!$D$7="JA", 'Lån Översikt'!$D$11="JA", 'Lån Översikt'!$D$8="JA"), (G438*(('Lån Översikt'!$C$7/100*'Lån Översikt'!$C$11/100)-'Lån Översikt'!$C$8/100))/12, IF(AND('Lån Översikt'!$D$7="JA", 'Lån Översikt'!$D$11="JA", 'Lån Översikt'!$D$8="NEJ"), (G438*(('Lån Översikt'!$C$7/100*'Lån Översikt'!$C$11/100))/12), 0)))
</f>
        <v>4784</v>
      </c>
      <c r="I438" s="8">
        <f t="shared" si="2"/>
        <v>4712</v>
      </c>
      <c r="J438" s="8">
        <f>IF(AND(P438, O438), 0, IF(O438, INT((('Lån Översikt'!$C$5 * 1 / 100) / 12)), INT((('Lån Översikt'!$C$5 * 'Lån Översikt'!$C$15 / 100) / 12))))
</f>
        <v>0</v>
      </c>
      <c r="K438" s="8">
        <f t="shared" si="3"/>
        <v>4166</v>
      </c>
      <c r="L438" s="8">
        <f t="shared" si="4"/>
        <v>13662</v>
      </c>
      <c r="M438" s="8">
        <f>(L438 + 'Lån Översikt'!$D$50)</f>
        <v>35611</v>
      </c>
      <c r="N438" s="8">
        <f>IF('Lån Översikt'!$D$22 = "JA", 
    IF(Q438 = TRUE, 'Lån Översikt'!$D$24 - M438, 'Lån Översikt'!$D$24 - M438 + 18300), 
    'Lån Översikt'!$D$24 - M438)
</f>
        <v>14189</v>
      </c>
      <c r="O438" s="25" t="b">
        <f t="shared" si="5"/>
        <v>1</v>
      </c>
      <c r="P438" s="26" t="b">
        <f t="shared" si="6"/>
        <v>1</v>
      </c>
      <c r="Q438" s="27" t="b">
        <f t="shared" si="8"/>
        <v>0</v>
      </c>
    </row>
    <row r="439">
      <c r="F439" s="8">
        <v>436.0</v>
      </c>
      <c r="G439" s="11">
        <f t="shared" si="1"/>
        <v>1871875</v>
      </c>
      <c r="H439" s="9">
        <f>INT(IF(AND('Lån Översikt'!$D$7="JA", 'Lån Översikt'!$D$11="JA", 'Lån Översikt'!$D$8="JA"), (G439*(('Lån Översikt'!$C$7/100*'Lån Översikt'!$C$11/100)-'Lån Översikt'!$C$8/100))/12, IF(AND('Lån Översikt'!$D$7="JA", 'Lån Översikt'!$D$11="JA", 'Lån Översikt'!$D$8="NEJ"), (G439*(('Lån Översikt'!$C$7/100*'Lån Översikt'!$C$11/100))/12), 0)))
</f>
        <v>4784</v>
      </c>
      <c r="I439" s="8">
        <f t="shared" si="2"/>
        <v>4712</v>
      </c>
      <c r="J439" s="8">
        <f>IF(AND(P439, O439), 0, IF(O439, INT((('Lån Översikt'!$C$5 * 1 / 100) / 12)), INT((('Lån Översikt'!$C$5 * 'Lån Översikt'!$C$15 / 100) / 12))))
</f>
        <v>0</v>
      </c>
      <c r="K439" s="8">
        <f t="shared" si="3"/>
        <v>4166</v>
      </c>
      <c r="L439" s="8">
        <f t="shared" si="4"/>
        <v>13662</v>
      </c>
      <c r="M439" s="8">
        <f>(L439 + 'Lån Översikt'!$D$50)</f>
        <v>35611</v>
      </c>
      <c r="N439" s="8">
        <f>IF('Lån Översikt'!$D$22 = "JA", 
    IF(Q439 = TRUE, 'Lån Översikt'!$D$24 - M439, 'Lån Översikt'!$D$24 - M439 + 18300), 
    'Lån Översikt'!$D$24 - M439)
</f>
        <v>14189</v>
      </c>
      <c r="O439" s="25" t="b">
        <f t="shared" si="5"/>
        <v>1</v>
      </c>
      <c r="P439" s="26" t="b">
        <f t="shared" si="6"/>
        <v>1</v>
      </c>
      <c r="Q439" s="27" t="b">
        <f t="shared" si="8"/>
        <v>0</v>
      </c>
    </row>
    <row r="440">
      <c r="F440" s="8">
        <v>437.0</v>
      </c>
      <c r="G440" s="11">
        <f t="shared" si="1"/>
        <v>1871875</v>
      </c>
      <c r="H440" s="9">
        <f>INT(IF(AND('Lån Översikt'!$D$7="JA", 'Lån Översikt'!$D$11="JA", 'Lån Översikt'!$D$8="JA"), (G440*(('Lån Översikt'!$C$7/100*'Lån Översikt'!$C$11/100)-'Lån Översikt'!$C$8/100))/12, IF(AND('Lån Översikt'!$D$7="JA", 'Lån Översikt'!$D$11="JA", 'Lån Översikt'!$D$8="NEJ"), (G440*(('Lån Översikt'!$C$7/100*'Lån Översikt'!$C$11/100))/12), 0)))
</f>
        <v>4784</v>
      </c>
      <c r="I440" s="8">
        <f t="shared" si="2"/>
        <v>4712</v>
      </c>
      <c r="J440" s="8">
        <f>IF(AND(P440, O440), 0, IF(O440, INT((('Lån Översikt'!$C$5 * 1 / 100) / 12)), INT((('Lån Översikt'!$C$5 * 'Lån Översikt'!$C$15 / 100) / 12))))
</f>
        <v>0</v>
      </c>
      <c r="K440" s="8">
        <f t="shared" si="3"/>
        <v>4166</v>
      </c>
      <c r="L440" s="8">
        <f t="shared" si="4"/>
        <v>13662</v>
      </c>
      <c r="M440" s="8">
        <f>(L440 + 'Lån Översikt'!$D$50)</f>
        <v>35611</v>
      </c>
      <c r="N440" s="8">
        <f>IF('Lån Översikt'!$D$22 = "JA", 
    IF(Q440 = TRUE, 'Lån Översikt'!$D$24 - M440, 'Lån Översikt'!$D$24 - M440 + 18300), 
    'Lån Översikt'!$D$24 - M440)
</f>
        <v>14189</v>
      </c>
      <c r="O440" s="25" t="b">
        <f t="shared" si="5"/>
        <v>1</v>
      </c>
      <c r="P440" s="26" t="b">
        <f t="shared" si="6"/>
        <v>1</v>
      </c>
      <c r="Q440" s="27" t="b">
        <f t="shared" si="8"/>
        <v>0</v>
      </c>
    </row>
    <row r="441">
      <c r="F441" s="8">
        <v>438.0</v>
      </c>
      <c r="G441" s="11">
        <f t="shared" si="1"/>
        <v>1871875</v>
      </c>
      <c r="H441" s="9">
        <f>INT(IF(AND('Lån Översikt'!$D$7="JA", 'Lån Översikt'!$D$11="JA", 'Lån Översikt'!$D$8="JA"), (G441*(('Lån Översikt'!$C$7/100*'Lån Översikt'!$C$11/100)-'Lån Översikt'!$C$8/100))/12, IF(AND('Lån Översikt'!$D$7="JA", 'Lån Översikt'!$D$11="JA", 'Lån Översikt'!$D$8="NEJ"), (G441*(('Lån Översikt'!$C$7/100*'Lån Översikt'!$C$11/100))/12), 0)))
</f>
        <v>4784</v>
      </c>
      <c r="I441" s="8">
        <f t="shared" si="2"/>
        <v>4712</v>
      </c>
      <c r="J441" s="8">
        <f>IF(AND(P441, O441), 0, IF(O441, INT((('Lån Översikt'!$C$5 * 1 / 100) / 12)), INT((('Lån Översikt'!$C$5 * 'Lån Översikt'!$C$15 / 100) / 12))))
</f>
        <v>0</v>
      </c>
      <c r="K441" s="8">
        <f t="shared" si="3"/>
        <v>4166</v>
      </c>
      <c r="L441" s="8">
        <f t="shared" si="4"/>
        <v>13662</v>
      </c>
      <c r="M441" s="8">
        <f>(L441 + 'Lån Översikt'!$D$50)</f>
        <v>35611</v>
      </c>
      <c r="N441" s="8">
        <f>IF('Lån Översikt'!$D$22 = "JA", 
    IF(Q441 = TRUE, 'Lån Översikt'!$D$24 - M441, 'Lån Översikt'!$D$24 - M441 + 18300), 
    'Lån Översikt'!$D$24 - M441)
</f>
        <v>14189</v>
      </c>
      <c r="O441" s="25" t="b">
        <f t="shared" si="5"/>
        <v>1</v>
      </c>
      <c r="P441" s="26" t="b">
        <f t="shared" si="6"/>
        <v>1</v>
      </c>
      <c r="Q441" s="27" t="b">
        <f t="shared" si="8"/>
        <v>0</v>
      </c>
    </row>
    <row r="442">
      <c r="F442" s="8">
        <v>439.0</v>
      </c>
      <c r="G442" s="11">
        <f t="shared" si="1"/>
        <v>1871875</v>
      </c>
      <c r="H442" s="9">
        <f>INT(IF(AND('Lån Översikt'!$D$7="JA", 'Lån Översikt'!$D$11="JA", 'Lån Översikt'!$D$8="JA"), (G442*(('Lån Översikt'!$C$7/100*'Lån Översikt'!$C$11/100)-'Lån Översikt'!$C$8/100))/12, IF(AND('Lån Översikt'!$D$7="JA", 'Lån Översikt'!$D$11="JA", 'Lån Översikt'!$D$8="NEJ"), (G442*(('Lån Översikt'!$C$7/100*'Lån Översikt'!$C$11/100))/12), 0)))
</f>
        <v>4784</v>
      </c>
      <c r="I442" s="8">
        <f t="shared" si="2"/>
        <v>4712</v>
      </c>
      <c r="J442" s="8">
        <f>IF(AND(P442, O442), 0, IF(O442, INT((('Lån Översikt'!$C$5 * 1 / 100) / 12)), INT((('Lån Översikt'!$C$5 * 'Lån Översikt'!$C$15 / 100) / 12))))
</f>
        <v>0</v>
      </c>
      <c r="K442" s="8">
        <f t="shared" si="3"/>
        <v>4166</v>
      </c>
      <c r="L442" s="8">
        <f t="shared" si="4"/>
        <v>13662</v>
      </c>
      <c r="M442" s="8">
        <f>(L442 + 'Lån Översikt'!$D$50)</f>
        <v>35611</v>
      </c>
      <c r="N442" s="8">
        <f>IF('Lån Översikt'!$D$22 = "JA", 
    IF(Q442 = TRUE, 'Lån Översikt'!$D$24 - M442, 'Lån Översikt'!$D$24 - M442 + 18300), 
    'Lån Översikt'!$D$24 - M442)
</f>
        <v>14189</v>
      </c>
      <c r="O442" s="25" t="b">
        <f t="shared" si="5"/>
        <v>1</v>
      </c>
      <c r="P442" s="26" t="b">
        <f t="shared" si="6"/>
        <v>1</v>
      </c>
      <c r="Q442" s="27" t="b">
        <f t="shared" si="8"/>
        <v>0</v>
      </c>
    </row>
    <row r="443">
      <c r="F443" s="8">
        <v>440.0</v>
      </c>
      <c r="G443" s="11">
        <f t="shared" si="1"/>
        <v>1871875</v>
      </c>
      <c r="H443" s="9">
        <f>INT(IF(AND('Lån Översikt'!$D$7="JA", 'Lån Översikt'!$D$11="JA", 'Lån Översikt'!$D$8="JA"), (G443*(('Lån Översikt'!$C$7/100*'Lån Översikt'!$C$11/100)-'Lån Översikt'!$C$8/100))/12, IF(AND('Lån Översikt'!$D$7="JA", 'Lån Översikt'!$D$11="JA", 'Lån Översikt'!$D$8="NEJ"), (G443*(('Lån Översikt'!$C$7/100*'Lån Översikt'!$C$11/100))/12), 0)))
</f>
        <v>4784</v>
      </c>
      <c r="I443" s="8">
        <f t="shared" si="2"/>
        <v>4712</v>
      </c>
      <c r="J443" s="8">
        <f>IF(AND(P443, O443), 0, IF(O443, INT((('Lån Översikt'!$C$5 * 1 / 100) / 12)), INT((('Lån Översikt'!$C$5 * 'Lån Översikt'!$C$15 / 100) / 12))))
</f>
        <v>0</v>
      </c>
      <c r="K443" s="8">
        <f t="shared" si="3"/>
        <v>4166</v>
      </c>
      <c r="L443" s="8">
        <f t="shared" si="4"/>
        <v>13662</v>
      </c>
      <c r="M443" s="8">
        <f>(L443 + 'Lån Översikt'!$D$50)</f>
        <v>35611</v>
      </c>
      <c r="N443" s="8">
        <f>IF('Lån Översikt'!$D$22 = "JA", 
    IF(Q443 = TRUE, 'Lån Översikt'!$D$24 - M443, 'Lån Översikt'!$D$24 - M443 + 18300), 
    'Lån Översikt'!$D$24 - M443)
</f>
        <v>14189</v>
      </c>
      <c r="O443" s="25" t="b">
        <f t="shared" si="5"/>
        <v>1</v>
      </c>
      <c r="P443" s="26" t="b">
        <f t="shared" si="6"/>
        <v>1</v>
      </c>
      <c r="Q443" s="27" t="b">
        <f t="shared" si="8"/>
        <v>0</v>
      </c>
    </row>
    <row r="444">
      <c r="F444" s="8">
        <v>441.0</v>
      </c>
      <c r="G444" s="11">
        <f t="shared" si="1"/>
        <v>1871875</v>
      </c>
      <c r="H444" s="9">
        <f>INT(IF(AND('Lån Översikt'!$D$7="JA", 'Lån Översikt'!$D$11="JA", 'Lån Översikt'!$D$8="JA"), (G444*(('Lån Översikt'!$C$7/100*'Lån Översikt'!$C$11/100)-'Lån Översikt'!$C$8/100))/12, IF(AND('Lån Översikt'!$D$7="JA", 'Lån Översikt'!$D$11="JA", 'Lån Översikt'!$D$8="NEJ"), (G444*(('Lån Översikt'!$C$7/100*'Lån Översikt'!$C$11/100))/12), 0)))
</f>
        <v>4784</v>
      </c>
      <c r="I444" s="8">
        <f t="shared" si="2"/>
        <v>4712</v>
      </c>
      <c r="J444" s="8">
        <f>IF(AND(P444, O444), 0, IF(O444, INT((('Lån Översikt'!$C$5 * 1 / 100) / 12)), INT((('Lån Översikt'!$C$5 * 'Lån Översikt'!$C$15 / 100) / 12))))
</f>
        <v>0</v>
      </c>
      <c r="K444" s="8">
        <f t="shared" si="3"/>
        <v>4166</v>
      </c>
      <c r="L444" s="8">
        <f t="shared" si="4"/>
        <v>13662</v>
      </c>
      <c r="M444" s="8">
        <f>(L444 + 'Lån Översikt'!$D$50)</f>
        <v>35611</v>
      </c>
      <c r="N444" s="8">
        <f>IF('Lån Översikt'!$D$22 = "JA", 
    IF(Q444 = TRUE, 'Lån Översikt'!$D$24 - M444, 'Lån Översikt'!$D$24 - M444 + 18300), 
    'Lån Översikt'!$D$24 - M444)
</f>
        <v>14189</v>
      </c>
      <c r="O444" s="25" t="b">
        <f t="shared" si="5"/>
        <v>1</v>
      </c>
      <c r="P444" s="26" t="b">
        <f t="shared" si="6"/>
        <v>1</v>
      </c>
      <c r="Q444" s="27" t="b">
        <f t="shared" si="8"/>
        <v>0</v>
      </c>
    </row>
    <row r="445">
      <c r="F445" s="8">
        <v>442.0</v>
      </c>
      <c r="G445" s="11">
        <f t="shared" si="1"/>
        <v>1871875</v>
      </c>
      <c r="H445" s="9">
        <f>INT(IF(AND('Lån Översikt'!$D$7="JA", 'Lån Översikt'!$D$11="JA", 'Lån Översikt'!$D$8="JA"), (G445*(('Lån Översikt'!$C$7/100*'Lån Översikt'!$C$11/100)-'Lån Översikt'!$C$8/100))/12, IF(AND('Lån Översikt'!$D$7="JA", 'Lån Översikt'!$D$11="JA", 'Lån Översikt'!$D$8="NEJ"), (G445*(('Lån Översikt'!$C$7/100*'Lån Översikt'!$C$11/100))/12), 0)))
</f>
        <v>4784</v>
      </c>
      <c r="I445" s="8">
        <f t="shared" si="2"/>
        <v>4712</v>
      </c>
      <c r="J445" s="8">
        <f>IF(AND(P445, O445), 0, IF(O445, INT((('Lån Översikt'!$C$5 * 1 / 100) / 12)), INT((('Lån Översikt'!$C$5 * 'Lån Översikt'!$C$15 / 100) / 12))))
</f>
        <v>0</v>
      </c>
      <c r="K445" s="8">
        <f t="shared" si="3"/>
        <v>4166</v>
      </c>
      <c r="L445" s="8">
        <f t="shared" si="4"/>
        <v>13662</v>
      </c>
      <c r="M445" s="8">
        <f>(L445 + 'Lån Översikt'!$D$50)</f>
        <v>35611</v>
      </c>
      <c r="N445" s="8">
        <f>IF('Lån Översikt'!$D$22 = "JA", 
    IF(Q445 = TRUE, 'Lån Översikt'!$D$24 - M445, 'Lån Översikt'!$D$24 - M445 + 18300), 
    'Lån Översikt'!$D$24 - M445)
</f>
        <v>14189</v>
      </c>
      <c r="O445" s="25" t="b">
        <f t="shared" si="5"/>
        <v>1</v>
      </c>
      <c r="P445" s="26" t="b">
        <f t="shared" si="6"/>
        <v>1</v>
      </c>
      <c r="Q445" s="27" t="b">
        <f t="shared" si="8"/>
        <v>0</v>
      </c>
    </row>
    <row r="446">
      <c r="F446" s="8">
        <v>443.0</v>
      </c>
      <c r="G446" s="11">
        <f t="shared" si="1"/>
        <v>1871875</v>
      </c>
      <c r="H446" s="9">
        <f>INT(IF(AND('Lån Översikt'!$D$7="JA", 'Lån Översikt'!$D$11="JA", 'Lån Översikt'!$D$8="JA"), (G446*(('Lån Översikt'!$C$7/100*'Lån Översikt'!$C$11/100)-'Lån Översikt'!$C$8/100))/12, IF(AND('Lån Översikt'!$D$7="JA", 'Lån Översikt'!$D$11="JA", 'Lån Översikt'!$D$8="NEJ"), (G446*(('Lån Översikt'!$C$7/100*'Lån Översikt'!$C$11/100))/12), 0)))
</f>
        <v>4784</v>
      </c>
      <c r="I446" s="8">
        <f t="shared" si="2"/>
        <v>4712</v>
      </c>
      <c r="J446" s="8">
        <f>IF(AND(P446, O446), 0, IF(O446, INT((('Lån Översikt'!$C$5 * 1 / 100) / 12)), INT((('Lån Översikt'!$C$5 * 'Lån Översikt'!$C$15 / 100) / 12))))
</f>
        <v>0</v>
      </c>
      <c r="K446" s="8">
        <f t="shared" si="3"/>
        <v>4166</v>
      </c>
      <c r="L446" s="8">
        <f t="shared" si="4"/>
        <v>13662</v>
      </c>
      <c r="M446" s="8">
        <f>(L446 + 'Lån Översikt'!$D$50)</f>
        <v>35611</v>
      </c>
      <c r="N446" s="8">
        <f>IF('Lån Översikt'!$D$22 = "JA", 
    IF(Q446 = TRUE, 'Lån Översikt'!$D$24 - M446, 'Lån Översikt'!$D$24 - M446 + 18300), 
    'Lån Översikt'!$D$24 - M446)
</f>
        <v>14189</v>
      </c>
      <c r="O446" s="25" t="b">
        <f t="shared" si="5"/>
        <v>1</v>
      </c>
      <c r="P446" s="26" t="b">
        <f t="shared" si="6"/>
        <v>1</v>
      </c>
      <c r="Q446" s="27" t="b">
        <f t="shared" si="8"/>
        <v>0</v>
      </c>
    </row>
    <row r="447">
      <c r="F447" s="8">
        <v>444.0</v>
      </c>
      <c r="G447" s="11">
        <f t="shared" si="1"/>
        <v>1871875</v>
      </c>
      <c r="H447" s="9">
        <f>INT(IF(AND('Lån Översikt'!$D$7="JA", 'Lån Översikt'!$D$11="JA", 'Lån Översikt'!$D$8="JA"), (G447*(('Lån Översikt'!$C$7/100*'Lån Översikt'!$C$11/100)-'Lån Översikt'!$C$8/100))/12, IF(AND('Lån Översikt'!$D$7="JA", 'Lån Översikt'!$D$11="JA", 'Lån Översikt'!$D$8="NEJ"), (G447*(('Lån Översikt'!$C$7/100*'Lån Översikt'!$C$11/100))/12), 0)))
</f>
        <v>4784</v>
      </c>
      <c r="I447" s="8">
        <f t="shared" si="2"/>
        <v>4712</v>
      </c>
      <c r="J447" s="8">
        <f>IF(AND(P447, O447), 0, IF(O447, INT((('Lån Översikt'!$C$5 * 1 / 100) / 12)), INT((('Lån Översikt'!$C$5 * 'Lån Översikt'!$C$15 / 100) / 12))))
</f>
        <v>0</v>
      </c>
      <c r="K447" s="8">
        <f t="shared" si="3"/>
        <v>4166</v>
      </c>
      <c r="L447" s="8">
        <f t="shared" si="4"/>
        <v>13662</v>
      </c>
      <c r="M447" s="8">
        <f>(L447 + 'Lån Översikt'!$D$50)</f>
        <v>35611</v>
      </c>
      <c r="N447" s="8">
        <f>IF('Lån Översikt'!$D$22 = "JA", 
    IF(Q447 = TRUE, 'Lån Översikt'!$D$24 - M447, 'Lån Översikt'!$D$24 - M447 + 18300), 
    'Lån Översikt'!$D$24 - M447)
</f>
        <v>14189</v>
      </c>
      <c r="O447" s="25" t="b">
        <f t="shared" si="5"/>
        <v>1</v>
      </c>
      <c r="P447" s="26" t="b">
        <f t="shared" si="6"/>
        <v>1</v>
      </c>
      <c r="Q447" s="27" t="b">
        <f t="shared" si="8"/>
        <v>0</v>
      </c>
    </row>
    <row r="448">
      <c r="F448" s="8">
        <v>445.0</v>
      </c>
      <c r="G448" s="11">
        <f t="shared" si="1"/>
        <v>1871875</v>
      </c>
      <c r="H448" s="9">
        <f>INT(IF(AND('Lån Översikt'!$D$7="JA", 'Lån Översikt'!$D$11="JA", 'Lån Översikt'!$D$8="JA"), (G448*(('Lån Översikt'!$C$7/100*'Lån Översikt'!$C$11/100)-'Lån Översikt'!$C$8/100))/12, IF(AND('Lån Översikt'!$D$7="JA", 'Lån Översikt'!$D$11="JA", 'Lån Översikt'!$D$8="NEJ"), (G448*(('Lån Översikt'!$C$7/100*'Lån Översikt'!$C$11/100))/12), 0)))
</f>
        <v>4784</v>
      </c>
      <c r="I448" s="8">
        <f t="shared" si="2"/>
        <v>4712</v>
      </c>
      <c r="J448" s="8">
        <f>IF(AND(P448, O448), 0, IF(O448, INT((('Lån Översikt'!$C$5 * 1 / 100) / 12)), INT((('Lån Översikt'!$C$5 * 'Lån Översikt'!$C$15 / 100) / 12))))
</f>
        <v>0</v>
      </c>
      <c r="K448" s="8">
        <f t="shared" si="3"/>
        <v>4166</v>
      </c>
      <c r="L448" s="8">
        <f t="shared" si="4"/>
        <v>13662</v>
      </c>
      <c r="M448" s="8">
        <f>(L448 + 'Lån Översikt'!$D$50)</f>
        <v>35611</v>
      </c>
      <c r="N448" s="8">
        <f>IF('Lån Översikt'!$D$22 = "JA", 
    IF(Q448 = TRUE, 'Lån Översikt'!$D$24 - M448, 'Lån Översikt'!$D$24 - M448 + 18300), 
    'Lån Översikt'!$D$24 - M448)
</f>
        <v>14189</v>
      </c>
      <c r="O448" s="25" t="b">
        <f t="shared" si="5"/>
        <v>1</v>
      </c>
      <c r="P448" s="26" t="b">
        <f t="shared" si="6"/>
        <v>1</v>
      </c>
      <c r="Q448" s="27" t="b">
        <f t="shared" si="8"/>
        <v>0</v>
      </c>
    </row>
    <row r="449">
      <c r="F449" s="8">
        <v>446.0</v>
      </c>
      <c r="G449" s="11">
        <f t="shared" si="1"/>
        <v>1871875</v>
      </c>
      <c r="H449" s="9">
        <f>INT(IF(AND('Lån Översikt'!$D$7="JA", 'Lån Översikt'!$D$11="JA", 'Lån Översikt'!$D$8="JA"), (G449*(('Lån Översikt'!$C$7/100*'Lån Översikt'!$C$11/100)-'Lån Översikt'!$C$8/100))/12, IF(AND('Lån Översikt'!$D$7="JA", 'Lån Översikt'!$D$11="JA", 'Lån Översikt'!$D$8="NEJ"), (G449*(('Lån Översikt'!$C$7/100*'Lån Översikt'!$C$11/100))/12), 0)))
</f>
        <v>4784</v>
      </c>
      <c r="I449" s="8">
        <f t="shared" si="2"/>
        <v>4712</v>
      </c>
      <c r="J449" s="8">
        <f>IF(AND(P449, O449), 0, IF(O449, INT((('Lån Översikt'!$C$5 * 1 / 100) / 12)), INT((('Lån Översikt'!$C$5 * 'Lån Översikt'!$C$15 / 100) / 12))))
</f>
        <v>0</v>
      </c>
      <c r="K449" s="8">
        <f t="shared" si="3"/>
        <v>4166</v>
      </c>
      <c r="L449" s="8">
        <f t="shared" si="4"/>
        <v>13662</v>
      </c>
      <c r="M449" s="8">
        <f>(L449 + 'Lån Översikt'!$D$50)</f>
        <v>35611</v>
      </c>
      <c r="N449" s="8">
        <f>IF('Lån Översikt'!$D$22 = "JA", 
    IF(Q449 = TRUE, 'Lån Översikt'!$D$24 - M449, 'Lån Översikt'!$D$24 - M449 + 18300), 
    'Lån Översikt'!$D$24 - M449)
</f>
        <v>14189</v>
      </c>
      <c r="O449" s="25" t="b">
        <f t="shared" si="5"/>
        <v>1</v>
      </c>
      <c r="P449" s="26" t="b">
        <f t="shared" si="6"/>
        <v>1</v>
      </c>
      <c r="Q449" s="27" t="b">
        <f t="shared" si="8"/>
        <v>0</v>
      </c>
    </row>
    <row r="450">
      <c r="F450" s="8">
        <v>447.0</v>
      </c>
      <c r="G450" s="11">
        <f t="shared" si="1"/>
        <v>1871875</v>
      </c>
      <c r="H450" s="9">
        <f>INT(IF(AND('Lån Översikt'!$D$7="JA", 'Lån Översikt'!$D$11="JA", 'Lån Översikt'!$D$8="JA"), (G450*(('Lån Översikt'!$C$7/100*'Lån Översikt'!$C$11/100)-'Lån Översikt'!$C$8/100))/12, IF(AND('Lån Översikt'!$D$7="JA", 'Lån Översikt'!$D$11="JA", 'Lån Översikt'!$D$8="NEJ"), (G450*(('Lån Översikt'!$C$7/100*'Lån Översikt'!$C$11/100))/12), 0)))
</f>
        <v>4784</v>
      </c>
      <c r="I450" s="8">
        <f t="shared" si="2"/>
        <v>4712</v>
      </c>
      <c r="J450" s="8">
        <f>IF(AND(P450, O450), 0, IF(O450, INT((('Lån Översikt'!$C$5 * 1 / 100) / 12)), INT((('Lån Översikt'!$C$5 * 'Lån Översikt'!$C$15 / 100) / 12))))
</f>
        <v>0</v>
      </c>
      <c r="K450" s="8">
        <f t="shared" si="3"/>
        <v>4166</v>
      </c>
      <c r="L450" s="8">
        <f t="shared" si="4"/>
        <v>13662</v>
      </c>
      <c r="M450" s="8">
        <f>(L450 + 'Lån Översikt'!$D$50)</f>
        <v>35611</v>
      </c>
      <c r="N450" s="8">
        <f>IF('Lån Översikt'!$D$22 = "JA", 
    IF(Q450 = TRUE, 'Lån Översikt'!$D$24 - M450, 'Lån Översikt'!$D$24 - M450 + 18300), 
    'Lån Översikt'!$D$24 - M450)
</f>
        <v>14189</v>
      </c>
      <c r="O450" s="25" t="b">
        <f t="shared" si="5"/>
        <v>1</v>
      </c>
      <c r="P450" s="26" t="b">
        <f t="shared" si="6"/>
        <v>1</v>
      </c>
      <c r="Q450" s="27" t="b">
        <f t="shared" si="8"/>
        <v>0</v>
      </c>
    </row>
    <row r="451">
      <c r="F451" s="8">
        <v>448.0</v>
      </c>
      <c r="G451" s="11">
        <f t="shared" si="1"/>
        <v>1871875</v>
      </c>
      <c r="H451" s="9">
        <f>INT(IF(AND('Lån Översikt'!$D$7="JA", 'Lån Översikt'!$D$11="JA", 'Lån Översikt'!$D$8="JA"), (G451*(('Lån Översikt'!$C$7/100*'Lån Översikt'!$C$11/100)-'Lån Översikt'!$C$8/100))/12, IF(AND('Lån Översikt'!$D$7="JA", 'Lån Översikt'!$D$11="JA", 'Lån Översikt'!$D$8="NEJ"), (G451*(('Lån Översikt'!$C$7/100*'Lån Översikt'!$C$11/100))/12), 0)))
</f>
        <v>4784</v>
      </c>
      <c r="I451" s="8">
        <f t="shared" si="2"/>
        <v>4712</v>
      </c>
      <c r="J451" s="8">
        <f>IF(AND(P451, O451), 0, IF(O451, INT((('Lån Översikt'!$C$5 * 1 / 100) / 12)), INT((('Lån Översikt'!$C$5 * 'Lån Översikt'!$C$15 / 100) / 12))))
</f>
        <v>0</v>
      </c>
      <c r="K451" s="8">
        <f t="shared" si="3"/>
        <v>4166</v>
      </c>
      <c r="L451" s="8">
        <f t="shared" si="4"/>
        <v>13662</v>
      </c>
      <c r="M451" s="8">
        <f>(L451 + 'Lån Översikt'!$D$50)</f>
        <v>35611</v>
      </c>
      <c r="N451" s="8">
        <f>IF('Lån Översikt'!$D$22 = "JA", 
    IF(Q451 = TRUE, 'Lån Översikt'!$D$24 - M451, 'Lån Översikt'!$D$24 - M451 + 18300), 
    'Lån Översikt'!$D$24 - M451)
</f>
        <v>14189</v>
      </c>
      <c r="O451" s="25" t="b">
        <f t="shared" si="5"/>
        <v>1</v>
      </c>
      <c r="P451" s="26" t="b">
        <f t="shared" si="6"/>
        <v>1</v>
      </c>
      <c r="Q451" s="27" t="b">
        <f t="shared" si="8"/>
        <v>0</v>
      </c>
    </row>
    <row r="452">
      <c r="F452" s="8">
        <v>449.0</v>
      </c>
      <c r="G452" s="11">
        <f t="shared" si="1"/>
        <v>1871875</v>
      </c>
      <c r="H452" s="9">
        <f>INT(IF(AND('Lån Översikt'!$D$7="JA", 'Lån Översikt'!$D$11="JA", 'Lån Översikt'!$D$8="JA"), (G452*(('Lån Översikt'!$C$7/100*'Lån Översikt'!$C$11/100)-'Lån Översikt'!$C$8/100))/12, IF(AND('Lån Översikt'!$D$7="JA", 'Lån Översikt'!$D$11="JA", 'Lån Översikt'!$D$8="NEJ"), (G452*(('Lån Översikt'!$C$7/100*'Lån Översikt'!$C$11/100))/12), 0)))
</f>
        <v>4784</v>
      </c>
      <c r="I452" s="8">
        <f t="shared" si="2"/>
        <v>4712</v>
      </c>
      <c r="J452" s="8">
        <f>IF(AND(P452, O452), 0, IF(O452, INT((('Lån Översikt'!$C$5 * 1 / 100) / 12)), INT((('Lån Översikt'!$C$5 * 'Lån Översikt'!$C$15 / 100) / 12))))
</f>
        <v>0</v>
      </c>
      <c r="K452" s="8">
        <f t="shared" si="3"/>
        <v>4166</v>
      </c>
      <c r="L452" s="8">
        <f t="shared" si="4"/>
        <v>13662</v>
      </c>
      <c r="M452" s="8">
        <f>(L452 + 'Lån Översikt'!$D$50)</f>
        <v>35611</v>
      </c>
      <c r="N452" s="8">
        <f>IF('Lån Översikt'!$D$22 = "JA", 
    IF(Q452 = TRUE, 'Lån Översikt'!$D$24 - M452, 'Lån Översikt'!$D$24 - M452 + 18300), 
    'Lån Översikt'!$D$24 - M452)
</f>
        <v>14189</v>
      </c>
      <c r="O452" s="25" t="b">
        <f t="shared" si="5"/>
        <v>1</v>
      </c>
      <c r="P452" s="26" t="b">
        <f t="shared" si="6"/>
        <v>1</v>
      </c>
      <c r="Q452" s="27" t="b">
        <f t="shared" si="8"/>
        <v>0</v>
      </c>
    </row>
    <row r="453">
      <c r="F453" s="8">
        <v>450.0</v>
      </c>
      <c r="G453" s="11">
        <f t="shared" si="1"/>
        <v>1871875</v>
      </c>
      <c r="H453" s="9">
        <f>INT(IF(AND('Lån Översikt'!$D$7="JA", 'Lån Översikt'!$D$11="JA", 'Lån Översikt'!$D$8="JA"), (G453*(('Lån Översikt'!$C$7/100*'Lån Översikt'!$C$11/100)-'Lån Översikt'!$C$8/100))/12, IF(AND('Lån Översikt'!$D$7="JA", 'Lån Översikt'!$D$11="JA", 'Lån Översikt'!$D$8="NEJ"), (G453*(('Lån Översikt'!$C$7/100*'Lån Översikt'!$C$11/100))/12), 0)))
</f>
        <v>4784</v>
      </c>
      <c r="I453" s="8">
        <f t="shared" si="2"/>
        <v>4712</v>
      </c>
      <c r="J453" s="8">
        <f>IF(AND(P453, O453), 0, IF(O453, INT((('Lån Översikt'!$C$5 * 1 / 100) / 12)), INT((('Lån Översikt'!$C$5 * 'Lån Översikt'!$C$15 / 100) / 12))))
</f>
        <v>0</v>
      </c>
      <c r="K453" s="8">
        <f t="shared" si="3"/>
        <v>4166</v>
      </c>
      <c r="L453" s="8">
        <f t="shared" si="4"/>
        <v>13662</v>
      </c>
      <c r="M453" s="8">
        <f>(L453 + 'Lån Översikt'!$D$50)</f>
        <v>35611</v>
      </c>
      <c r="N453" s="8">
        <f>IF('Lån Översikt'!$D$22 = "JA", 
    IF(Q453 = TRUE, 'Lån Översikt'!$D$24 - M453, 'Lån Översikt'!$D$24 - M453 + 18300), 
    'Lån Översikt'!$D$24 - M453)
</f>
        <v>14189</v>
      </c>
      <c r="O453" s="25" t="b">
        <f t="shared" si="5"/>
        <v>1</v>
      </c>
      <c r="P453" s="26" t="b">
        <f t="shared" si="6"/>
        <v>1</v>
      </c>
      <c r="Q453" s="27" t="b">
        <f t="shared" si="8"/>
        <v>0</v>
      </c>
    </row>
    <row r="454">
      <c r="F454" s="8">
        <v>451.0</v>
      </c>
      <c r="G454" s="11">
        <f t="shared" si="1"/>
        <v>1871875</v>
      </c>
      <c r="H454" s="9">
        <f>INT(IF(AND('Lån Översikt'!$D$7="JA", 'Lån Översikt'!$D$11="JA", 'Lån Översikt'!$D$8="JA"), (G454*(('Lån Översikt'!$C$7/100*'Lån Översikt'!$C$11/100)-'Lån Översikt'!$C$8/100))/12, IF(AND('Lån Översikt'!$D$7="JA", 'Lån Översikt'!$D$11="JA", 'Lån Översikt'!$D$8="NEJ"), (G454*(('Lån Översikt'!$C$7/100*'Lån Översikt'!$C$11/100))/12), 0)))
</f>
        <v>4784</v>
      </c>
      <c r="I454" s="8">
        <f t="shared" si="2"/>
        <v>4712</v>
      </c>
      <c r="J454" s="8">
        <f>IF(AND(P454, O454), 0, IF(O454, INT((('Lån Översikt'!$C$5 * 1 / 100) / 12)), INT((('Lån Översikt'!$C$5 * 'Lån Översikt'!$C$15 / 100) / 12))))
</f>
        <v>0</v>
      </c>
      <c r="K454" s="8">
        <f t="shared" si="3"/>
        <v>4166</v>
      </c>
      <c r="L454" s="8">
        <f t="shared" si="4"/>
        <v>13662</v>
      </c>
      <c r="M454" s="8">
        <f>(L454 + 'Lån Översikt'!$D$50)</f>
        <v>35611</v>
      </c>
      <c r="N454" s="8">
        <f>IF('Lån Översikt'!$D$22 = "JA", 
    IF(Q454 = TRUE, 'Lån Översikt'!$D$24 - M454, 'Lån Översikt'!$D$24 - M454 + 18300), 
    'Lån Översikt'!$D$24 - M454)
</f>
        <v>14189</v>
      </c>
      <c r="O454" s="25" t="b">
        <f t="shared" si="5"/>
        <v>1</v>
      </c>
      <c r="P454" s="26" t="b">
        <f t="shared" si="6"/>
        <v>1</v>
      </c>
      <c r="Q454" s="27" t="b">
        <f t="shared" si="8"/>
        <v>0</v>
      </c>
    </row>
    <row r="455">
      <c r="F455" s="8">
        <v>452.0</v>
      </c>
      <c r="G455" s="11">
        <f t="shared" si="1"/>
        <v>1871875</v>
      </c>
      <c r="H455" s="9">
        <f>INT(IF(AND('Lån Översikt'!$D$7="JA", 'Lån Översikt'!$D$11="JA", 'Lån Översikt'!$D$8="JA"), (G455*(('Lån Översikt'!$C$7/100*'Lån Översikt'!$C$11/100)-'Lån Översikt'!$C$8/100))/12, IF(AND('Lån Översikt'!$D$7="JA", 'Lån Översikt'!$D$11="JA", 'Lån Översikt'!$D$8="NEJ"), (G455*(('Lån Översikt'!$C$7/100*'Lån Översikt'!$C$11/100))/12), 0)))
</f>
        <v>4784</v>
      </c>
      <c r="I455" s="8">
        <f t="shared" si="2"/>
        <v>4712</v>
      </c>
      <c r="J455" s="8">
        <f>IF(AND(P455, O455), 0, IF(O455, INT((('Lån Översikt'!$C$5 * 1 / 100) / 12)), INT((('Lån Översikt'!$C$5 * 'Lån Översikt'!$C$15 / 100) / 12))))
</f>
        <v>0</v>
      </c>
      <c r="K455" s="8">
        <f t="shared" si="3"/>
        <v>4166</v>
      </c>
      <c r="L455" s="8">
        <f t="shared" si="4"/>
        <v>13662</v>
      </c>
      <c r="M455" s="8">
        <f>(L455 + 'Lån Översikt'!$D$50)</f>
        <v>35611</v>
      </c>
      <c r="N455" s="8">
        <f>IF('Lån Översikt'!$D$22 = "JA", 
    IF(Q455 = TRUE, 'Lån Översikt'!$D$24 - M455, 'Lån Översikt'!$D$24 - M455 + 18300), 
    'Lån Översikt'!$D$24 - M455)
</f>
        <v>14189</v>
      </c>
      <c r="O455" s="25" t="b">
        <f t="shared" si="5"/>
        <v>1</v>
      </c>
      <c r="P455" s="26" t="b">
        <f t="shared" si="6"/>
        <v>1</v>
      </c>
      <c r="Q455" s="27" t="b">
        <f t="shared" si="8"/>
        <v>0</v>
      </c>
    </row>
    <row r="456">
      <c r="F456" s="8">
        <v>453.0</v>
      </c>
      <c r="G456" s="11">
        <f t="shared" si="1"/>
        <v>1871875</v>
      </c>
      <c r="H456" s="9">
        <f>INT(IF(AND('Lån Översikt'!$D$7="JA", 'Lån Översikt'!$D$11="JA", 'Lån Översikt'!$D$8="JA"), (G456*(('Lån Översikt'!$C$7/100*'Lån Översikt'!$C$11/100)-'Lån Översikt'!$C$8/100))/12, IF(AND('Lån Översikt'!$D$7="JA", 'Lån Översikt'!$D$11="JA", 'Lån Översikt'!$D$8="NEJ"), (G456*(('Lån Översikt'!$C$7/100*'Lån Översikt'!$C$11/100))/12), 0)))
</f>
        <v>4784</v>
      </c>
      <c r="I456" s="8">
        <f t="shared" si="2"/>
        <v>4712</v>
      </c>
      <c r="J456" s="8">
        <f>IF(AND(P456, O456), 0, IF(O456, INT((('Lån Översikt'!$C$5 * 1 / 100) / 12)), INT((('Lån Översikt'!$C$5 * 'Lån Översikt'!$C$15 / 100) / 12))))
</f>
        <v>0</v>
      </c>
      <c r="K456" s="8">
        <f t="shared" si="3"/>
        <v>4166</v>
      </c>
      <c r="L456" s="8">
        <f t="shared" si="4"/>
        <v>13662</v>
      </c>
      <c r="M456" s="8">
        <f>(L456 + 'Lån Översikt'!$D$50)</f>
        <v>35611</v>
      </c>
      <c r="N456" s="8">
        <f>IF('Lån Översikt'!$D$22 = "JA", 
    IF(Q456 = TRUE, 'Lån Översikt'!$D$24 - M456, 'Lån Översikt'!$D$24 - M456 + 18300), 
    'Lån Översikt'!$D$24 - M456)
</f>
        <v>14189</v>
      </c>
      <c r="O456" s="25" t="b">
        <f t="shared" si="5"/>
        <v>1</v>
      </c>
      <c r="P456" s="26" t="b">
        <f t="shared" si="6"/>
        <v>1</v>
      </c>
      <c r="Q456" s="27" t="b">
        <f t="shared" si="8"/>
        <v>0</v>
      </c>
    </row>
    <row r="457">
      <c r="F457" s="8">
        <v>454.0</v>
      </c>
      <c r="G457" s="11">
        <f t="shared" si="1"/>
        <v>1871875</v>
      </c>
      <c r="H457" s="9">
        <f>INT(IF(AND('Lån Översikt'!$D$7="JA", 'Lån Översikt'!$D$11="JA", 'Lån Översikt'!$D$8="JA"), (G457*(('Lån Översikt'!$C$7/100*'Lån Översikt'!$C$11/100)-'Lån Översikt'!$C$8/100))/12, IF(AND('Lån Översikt'!$D$7="JA", 'Lån Översikt'!$D$11="JA", 'Lån Översikt'!$D$8="NEJ"), (G457*(('Lån Översikt'!$C$7/100*'Lån Översikt'!$C$11/100))/12), 0)))
</f>
        <v>4784</v>
      </c>
      <c r="I457" s="8">
        <f t="shared" si="2"/>
        <v>4712</v>
      </c>
      <c r="J457" s="8">
        <f>IF(AND(P457, O457), 0, IF(O457, INT((('Lån Översikt'!$C$5 * 1 / 100) / 12)), INT((('Lån Översikt'!$C$5 * 'Lån Översikt'!$C$15 / 100) / 12))))
</f>
        <v>0</v>
      </c>
      <c r="K457" s="8">
        <f t="shared" si="3"/>
        <v>4166</v>
      </c>
      <c r="L457" s="8">
        <f t="shared" si="4"/>
        <v>13662</v>
      </c>
      <c r="M457" s="8">
        <f>(L457 + 'Lån Översikt'!$D$50)</f>
        <v>35611</v>
      </c>
      <c r="N457" s="8">
        <f>IF('Lån Översikt'!$D$22 = "JA", 
    IF(Q457 = TRUE, 'Lån Översikt'!$D$24 - M457, 'Lån Översikt'!$D$24 - M457 + 18300), 
    'Lån Översikt'!$D$24 - M457)
</f>
        <v>14189</v>
      </c>
      <c r="O457" s="25" t="b">
        <f t="shared" si="5"/>
        <v>1</v>
      </c>
      <c r="P457" s="26" t="b">
        <f t="shared" si="6"/>
        <v>1</v>
      </c>
      <c r="Q457" s="27" t="b">
        <f t="shared" si="8"/>
        <v>0</v>
      </c>
    </row>
    <row r="458">
      <c r="F458" s="8">
        <v>455.0</v>
      </c>
      <c r="G458" s="11">
        <f t="shared" si="1"/>
        <v>1871875</v>
      </c>
      <c r="H458" s="9">
        <f>INT(IF(AND('Lån Översikt'!$D$7="JA", 'Lån Översikt'!$D$11="JA", 'Lån Översikt'!$D$8="JA"), (G458*(('Lån Översikt'!$C$7/100*'Lån Översikt'!$C$11/100)-'Lån Översikt'!$C$8/100))/12, IF(AND('Lån Översikt'!$D$7="JA", 'Lån Översikt'!$D$11="JA", 'Lån Översikt'!$D$8="NEJ"), (G458*(('Lån Översikt'!$C$7/100*'Lån Översikt'!$C$11/100))/12), 0)))
</f>
        <v>4784</v>
      </c>
      <c r="I458" s="8">
        <f t="shared" si="2"/>
        <v>4712</v>
      </c>
      <c r="J458" s="8">
        <f>IF(AND(P458, O458), 0, IF(O458, INT((('Lån Översikt'!$C$5 * 1 / 100) / 12)), INT((('Lån Översikt'!$C$5 * 'Lån Översikt'!$C$15 / 100) / 12))))
</f>
        <v>0</v>
      </c>
      <c r="K458" s="8">
        <f t="shared" si="3"/>
        <v>4166</v>
      </c>
      <c r="L458" s="8">
        <f t="shared" si="4"/>
        <v>13662</v>
      </c>
      <c r="M458" s="8">
        <f>(L458 + 'Lån Översikt'!$D$50)</f>
        <v>35611</v>
      </c>
      <c r="N458" s="8">
        <f>IF('Lån Översikt'!$D$22 = "JA", 
    IF(Q458 = TRUE, 'Lån Översikt'!$D$24 - M458, 'Lån Översikt'!$D$24 - M458 + 18300), 
    'Lån Översikt'!$D$24 - M458)
</f>
        <v>14189</v>
      </c>
      <c r="O458" s="25" t="b">
        <f t="shared" si="5"/>
        <v>1</v>
      </c>
      <c r="P458" s="26" t="b">
        <f t="shared" si="6"/>
        <v>1</v>
      </c>
      <c r="Q458" s="27" t="b">
        <f t="shared" si="8"/>
        <v>0</v>
      </c>
    </row>
    <row r="459">
      <c r="F459" s="8">
        <v>456.0</v>
      </c>
      <c r="G459" s="11">
        <f t="shared" si="1"/>
        <v>1871875</v>
      </c>
      <c r="H459" s="9">
        <f>INT(IF(AND('Lån Översikt'!$D$7="JA", 'Lån Översikt'!$D$11="JA", 'Lån Översikt'!$D$8="JA"), (G459*(('Lån Översikt'!$C$7/100*'Lån Översikt'!$C$11/100)-'Lån Översikt'!$C$8/100))/12, IF(AND('Lån Översikt'!$D$7="JA", 'Lån Översikt'!$D$11="JA", 'Lån Översikt'!$D$8="NEJ"), (G459*(('Lån Översikt'!$C$7/100*'Lån Översikt'!$C$11/100))/12), 0)))
</f>
        <v>4784</v>
      </c>
      <c r="I459" s="8">
        <f t="shared" si="2"/>
        <v>4712</v>
      </c>
      <c r="J459" s="8">
        <f>IF(AND(P459, O459), 0, IF(O459, INT((('Lån Översikt'!$C$5 * 1 / 100) / 12)), INT((('Lån Översikt'!$C$5 * 'Lån Översikt'!$C$15 / 100) / 12))))
</f>
        <v>0</v>
      </c>
      <c r="K459" s="8">
        <f t="shared" si="3"/>
        <v>4166</v>
      </c>
      <c r="L459" s="8">
        <f t="shared" si="4"/>
        <v>13662</v>
      </c>
      <c r="M459" s="8">
        <f>(L459 + 'Lån Översikt'!$D$50)</f>
        <v>35611</v>
      </c>
      <c r="N459" s="8">
        <f>IF('Lån Översikt'!$D$22 = "JA", 
    IF(Q459 = TRUE, 'Lån Översikt'!$D$24 - M459, 'Lån Översikt'!$D$24 - M459 + 18300), 
    'Lån Översikt'!$D$24 - M459)
</f>
        <v>14189</v>
      </c>
      <c r="O459" s="25" t="b">
        <f t="shared" si="5"/>
        <v>1</v>
      </c>
      <c r="P459" s="26" t="b">
        <f t="shared" si="6"/>
        <v>1</v>
      </c>
      <c r="Q459" s="27" t="b">
        <f t="shared" si="8"/>
        <v>0</v>
      </c>
    </row>
    <row r="460">
      <c r="F460" s="8">
        <v>457.0</v>
      </c>
      <c r="G460" s="11">
        <f t="shared" si="1"/>
        <v>1871875</v>
      </c>
      <c r="H460" s="9">
        <f>INT(IF(AND('Lån Översikt'!$D$7="JA", 'Lån Översikt'!$D$11="JA", 'Lån Översikt'!$D$8="JA"), (G460*(('Lån Översikt'!$C$7/100*'Lån Översikt'!$C$11/100)-'Lån Översikt'!$C$8/100))/12, IF(AND('Lån Översikt'!$D$7="JA", 'Lån Översikt'!$D$11="JA", 'Lån Översikt'!$D$8="NEJ"), (G460*(('Lån Översikt'!$C$7/100*'Lån Översikt'!$C$11/100))/12), 0)))
</f>
        <v>4784</v>
      </c>
      <c r="I460" s="8">
        <f t="shared" si="2"/>
        <v>4712</v>
      </c>
      <c r="J460" s="8">
        <f>IF(AND(P460, O460), 0, IF(O460, INT((('Lån Översikt'!$C$5 * 1 / 100) / 12)), INT((('Lån Översikt'!$C$5 * 'Lån Översikt'!$C$15 / 100) / 12))))
</f>
        <v>0</v>
      </c>
      <c r="K460" s="8">
        <f t="shared" si="3"/>
        <v>4166</v>
      </c>
      <c r="L460" s="8">
        <f t="shared" si="4"/>
        <v>13662</v>
      </c>
      <c r="M460" s="8">
        <f>(L460 + 'Lån Översikt'!$D$50)</f>
        <v>35611</v>
      </c>
      <c r="N460" s="8">
        <f>IF('Lån Översikt'!$D$22 = "JA", 
    IF(Q460 = TRUE, 'Lån Översikt'!$D$24 - M460, 'Lån Översikt'!$D$24 - M460 + 18300), 
    'Lån Översikt'!$D$24 - M460)
</f>
        <v>14189</v>
      </c>
      <c r="O460" s="25" t="b">
        <f t="shared" si="5"/>
        <v>1</v>
      </c>
      <c r="P460" s="26" t="b">
        <f t="shared" si="6"/>
        <v>1</v>
      </c>
      <c r="Q460" s="27" t="b">
        <f t="shared" si="8"/>
        <v>0</v>
      </c>
    </row>
    <row r="461">
      <c r="F461" s="8">
        <v>458.0</v>
      </c>
      <c r="G461" s="11">
        <f t="shared" si="1"/>
        <v>1871875</v>
      </c>
      <c r="H461" s="9">
        <f>INT(IF(AND('Lån Översikt'!$D$7="JA", 'Lån Översikt'!$D$11="JA", 'Lån Översikt'!$D$8="JA"), (G461*(('Lån Översikt'!$C$7/100*'Lån Översikt'!$C$11/100)-'Lån Översikt'!$C$8/100))/12, IF(AND('Lån Översikt'!$D$7="JA", 'Lån Översikt'!$D$11="JA", 'Lån Översikt'!$D$8="NEJ"), (G461*(('Lån Översikt'!$C$7/100*'Lån Översikt'!$C$11/100))/12), 0)))
</f>
        <v>4784</v>
      </c>
      <c r="I461" s="8">
        <f t="shared" si="2"/>
        <v>4712</v>
      </c>
      <c r="J461" s="8">
        <f>IF(AND(P461, O461), 0, IF(O461, INT((('Lån Översikt'!$C$5 * 1 / 100) / 12)), INT((('Lån Översikt'!$C$5 * 'Lån Översikt'!$C$15 / 100) / 12))))
</f>
        <v>0</v>
      </c>
      <c r="K461" s="8">
        <f t="shared" si="3"/>
        <v>4166</v>
      </c>
      <c r="L461" s="8">
        <f t="shared" si="4"/>
        <v>13662</v>
      </c>
      <c r="M461" s="8">
        <f>(L461 + 'Lån Översikt'!$D$50)</f>
        <v>35611</v>
      </c>
      <c r="N461" s="8">
        <f>IF('Lån Översikt'!$D$22 = "JA", 
    IF(Q461 = TRUE, 'Lån Översikt'!$D$24 - M461, 'Lån Översikt'!$D$24 - M461 + 18300), 
    'Lån Översikt'!$D$24 - M461)
</f>
        <v>14189</v>
      </c>
      <c r="O461" s="25" t="b">
        <f t="shared" si="5"/>
        <v>1</v>
      </c>
      <c r="P461" s="26" t="b">
        <f t="shared" si="6"/>
        <v>1</v>
      </c>
      <c r="Q461" s="27" t="b">
        <f t="shared" si="8"/>
        <v>0</v>
      </c>
    </row>
    <row r="462">
      <c r="F462" s="8">
        <v>459.0</v>
      </c>
      <c r="G462" s="11">
        <f t="shared" si="1"/>
        <v>1871875</v>
      </c>
      <c r="H462" s="9">
        <f>INT(IF(AND('Lån Översikt'!$D$7="JA", 'Lån Översikt'!$D$11="JA", 'Lån Översikt'!$D$8="JA"), (G462*(('Lån Översikt'!$C$7/100*'Lån Översikt'!$C$11/100)-'Lån Översikt'!$C$8/100))/12, IF(AND('Lån Översikt'!$D$7="JA", 'Lån Översikt'!$D$11="JA", 'Lån Översikt'!$D$8="NEJ"), (G462*(('Lån Översikt'!$C$7/100*'Lån Översikt'!$C$11/100))/12), 0)))
</f>
        <v>4784</v>
      </c>
      <c r="I462" s="8">
        <f t="shared" si="2"/>
        <v>4712</v>
      </c>
      <c r="J462" s="8">
        <f>IF(AND(P462, O462), 0, IF(O462, INT((('Lån Översikt'!$C$5 * 1 / 100) / 12)), INT((('Lån Översikt'!$C$5 * 'Lån Översikt'!$C$15 / 100) / 12))))
</f>
        <v>0</v>
      </c>
      <c r="K462" s="8">
        <f t="shared" si="3"/>
        <v>4166</v>
      </c>
      <c r="L462" s="8">
        <f t="shared" si="4"/>
        <v>13662</v>
      </c>
      <c r="M462" s="8">
        <f>(L462 + 'Lån Översikt'!$D$50)</f>
        <v>35611</v>
      </c>
      <c r="N462" s="8">
        <f>IF('Lån Översikt'!$D$22 = "JA", 
    IF(Q462 = TRUE, 'Lån Översikt'!$D$24 - M462, 'Lån Översikt'!$D$24 - M462 + 18300), 
    'Lån Översikt'!$D$24 - M462)
</f>
        <v>14189</v>
      </c>
      <c r="O462" s="25" t="b">
        <f t="shared" si="5"/>
        <v>1</v>
      </c>
      <c r="P462" s="26" t="b">
        <f t="shared" si="6"/>
        <v>1</v>
      </c>
      <c r="Q462" s="27" t="b">
        <f t="shared" si="8"/>
        <v>0</v>
      </c>
    </row>
    <row r="463">
      <c r="F463" s="8">
        <v>460.0</v>
      </c>
      <c r="G463" s="11">
        <f t="shared" si="1"/>
        <v>1871875</v>
      </c>
      <c r="H463" s="9">
        <f>INT(IF(AND('Lån Översikt'!$D$7="JA", 'Lån Översikt'!$D$11="JA", 'Lån Översikt'!$D$8="JA"), (G463*(('Lån Översikt'!$C$7/100*'Lån Översikt'!$C$11/100)-'Lån Översikt'!$C$8/100))/12, IF(AND('Lån Översikt'!$D$7="JA", 'Lån Översikt'!$D$11="JA", 'Lån Översikt'!$D$8="NEJ"), (G463*(('Lån Översikt'!$C$7/100*'Lån Översikt'!$C$11/100))/12), 0)))
</f>
        <v>4784</v>
      </c>
      <c r="I463" s="8">
        <f t="shared" si="2"/>
        <v>4712</v>
      </c>
      <c r="J463" s="8">
        <f>IF(AND(P463, O463), 0, IF(O463, INT((('Lån Översikt'!$C$5 * 1 / 100) / 12)), INT((('Lån Översikt'!$C$5 * 'Lån Översikt'!$C$15 / 100) / 12))))
</f>
        <v>0</v>
      </c>
      <c r="K463" s="8">
        <f t="shared" si="3"/>
        <v>4166</v>
      </c>
      <c r="L463" s="8">
        <f t="shared" si="4"/>
        <v>13662</v>
      </c>
      <c r="M463" s="8">
        <f>(L463 + 'Lån Översikt'!$D$50)</f>
        <v>35611</v>
      </c>
      <c r="N463" s="8">
        <f>IF('Lån Översikt'!$D$22 = "JA", 
    IF(Q463 = TRUE, 'Lån Översikt'!$D$24 - M463, 'Lån Översikt'!$D$24 - M463 + 18300), 
    'Lån Översikt'!$D$24 - M463)
</f>
        <v>14189</v>
      </c>
      <c r="O463" s="25" t="b">
        <f t="shared" si="5"/>
        <v>1</v>
      </c>
      <c r="P463" s="26" t="b">
        <f t="shared" si="6"/>
        <v>1</v>
      </c>
      <c r="Q463" s="27" t="b">
        <f t="shared" si="8"/>
        <v>0</v>
      </c>
    </row>
    <row r="464">
      <c r="F464" s="8">
        <v>461.0</v>
      </c>
      <c r="G464" s="11">
        <f t="shared" si="1"/>
        <v>1871875</v>
      </c>
      <c r="H464" s="9">
        <f>INT(IF(AND('Lån Översikt'!$D$7="JA", 'Lån Översikt'!$D$11="JA", 'Lån Översikt'!$D$8="JA"), (G464*(('Lån Översikt'!$C$7/100*'Lån Översikt'!$C$11/100)-'Lån Översikt'!$C$8/100))/12, IF(AND('Lån Översikt'!$D$7="JA", 'Lån Översikt'!$D$11="JA", 'Lån Översikt'!$D$8="NEJ"), (G464*(('Lån Översikt'!$C$7/100*'Lån Översikt'!$C$11/100))/12), 0)))
</f>
        <v>4784</v>
      </c>
      <c r="I464" s="8">
        <f t="shared" si="2"/>
        <v>4712</v>
      </c>
      <c r="J464" s="8">
        <f>IF(AND(P464, O464), 0, IF(O464, INT((('Lån Översikt'!$C$5 * 1 / 100) / 12)), INT((('Lån Översikt'!$C$5 * 'Lån Översikt'!$C$15 / 100) / 12))))
</f>
        <v>0</v>
      </c>
      <c r="K464" s="8">
        <f t="shared" si="3"/>
        <v>4166</v>
      </c>
      <c r="L464" s="8">
        <f t="shared" si="4"/>
        <v>13662</v>
      </c>
      <c r="M464" s="8">
        <f>(L464 + 'Lån Översikt'!$D$50)</f>
        <v>35611</v>
      </c>
      <c r="N464" s="8">
        <f>IF('Lån Översikt'!$D$22 = "JA", 
    IF(Q464 = TRUE, 'Lån Översikt'!$D$24 - M464, 'Lån Översikt'!$D$24 - M464 + 18300), 
    'Lån Översikt'!$D$24 - M464)
</f>
        <v>14189</v>
      </c>
      <c r="O464" s="25" t="b">
        <f t="shared" si="5"/>
        <v>1</v>
      </c>
      <c r="P464" s="26" t="b">
        <f t="shared" si="6"/>
        <v>1</v>
      </c>
      <c r="Q464" s="27" t="b">
        <f t="shared" si="8"/>
        <v>0</v>
      </c>
    </row>
    <row r="465">
      <c r="F465" s="8">
        <v>462.0</v>
      </c>
      <c r="G465" s="11">
        <f t="shared" si="1"/>
        <v>1871875</v>
      </c>
      <c r="H465" s="9">
        <f>INT(IF(AND('Lån Översikt'!$D$7="JA", 'Lån Översikt'!$D$11="JA", 'Lån Översikt'!$D$8="JA"), (G465*(('Lån Översikt'!$C$7/100*'Lån Översikt'!$C$11/100)-'Lån Översikt'!$C$8/100))/12, IF(AND('Lån Översikt'!$D$7="JA", 'Lån Översikt'!$D$11="JA", 'Lån Översikt'!$D$8="NEJ"), (G465*(('Lån Översikt'!$C$7/100*'Lån Översikt'!$C$11/100))/12), 0)))
</f>
        <v>4784</v>
      </c>
      <c r="I465" s="8">
        <f t="shared" si="2"/>
        <v>4712</v>
      </c>
      <c r="J465" s="8">
        <f>IF(AND(P465, O465), 0, IF(O465, INT((('Lån Översikt'!$C$5 * 1 / 100) / 12)), INT((('Lån Översikt'!$C$5 * 'Lån Översikt'!$C$15 / 100) / 12))))
</f>
        <v>0</v>
      </c>
      <c r="K465" s="8">
        <f t="shared" si="3"/>
        <v>4166</v>
      </c>
      <c r="L465" s="8">
        <f t="shared" si="4"/>
        <v>13662</v>
      </c>
      <c r="M465" s="8">
        <f>(L465 + 'Lån Översikt'!$D$50)</f>
        <v>35611</v>
      </c>
      <c r="N465" s="8">
        <f>IF('Lån Översikt'!$D$22 = "JA", 
    IF(Q465 = TRUE, 'Lån Översikt'!$D$24 - M465, 'Lån Översikt'!$D$24 - M465 + 18300), 
    'Lån Översikt'!$D$24 - M465)
</f>
        <v>14189</v>
      </c>
      <c r="O465" s="25" t="b">
        <f t="shared" si="5"/>
        <v>1</v>
      </c>
      <c r="P465" s="26" t="b">
        <f t="shared" si="6"/>
        <v>1</v>
      </c>
      <c r="Q465" s="27" t="b">
        <f t="shared" si="8"/>
        <v>0</v>
      </c>
    </row>
    <row r="466">
      <c r="F466" s="8">
        <v>463.0</v>
      </c>
      <c r="G466" s="11">
        <f t="shared" si="1"/>
        <v>1871875</v>
      </c>
      <c r="H466" s="9">
        <f>INT(IF(AND('Lån Översikt'!$D$7="JA", 'Lån Översikt'!$D$11="JA", 'Lån Översikt'!$D$8="JA"), (G466*(('Lån Översikt'!$C$7/100*'Lån Översikt'!$C$11/100)-'Lån Översikt'!$C$8/100))/12, IF(AND('Lån Översikt'!$D$7="JA", 'Lån Översikt'!$D$11="JA", 'Lån Översikt'!$D$8="NEJ"), (G466*(('Lån Översikt'!$C$7/100*'Lån Översikt'!$C$11/100))/12), 0)))
</f>
        <v>4784</v>
      </c>
      <c r="I466" s="8">
        <f t="shared" si="2"/>
        <v>4712</v>
      </c>
      <c r="J466" s="8">
        <f>IF(AND(P466, O466), 0, IF(O466, INT((('Lån Översikt'!$C$5 * 1 / 100) / 12)), INT((('Lån Översikt'!$C$5 * 'Lån Översikt'!$C$15 / 100) / 12))))
</f>
        <v>0</v>
      </c>
      <c r="K466" s="8">
        <f t="shared" si="3"/>
        <v>4166</v>
      </c>
      <c r="L466" s="8">
        <f t="shared" si="4"/>
        <v>13662</v>
      </c>
      <c r="M466" s="8">
        <f>(L466 + 'Lån Översikt'!$D$50)</f>
        <v>35611</v>
      </c>
      <c r="N466" s="8">
        <f>IF('Lån Översikt'!$D$22 = "JA", 
    IF(Q466 = TRUE, 'Lån Översikt'!$D$24 - M466, 'Lån Översikt'!$D$24 - M466 + 18300), 
    'Lån Översikt'!$D$24 - M466)
</f>
        <v>14189</v>
      </c>
      <c r="O466" s="25" t="b">
        <f t="shared" si="5"/>
        <v>1</v>
      </c>
      <c r="P466" s="26" t="b">
        <f t="shared" si="6"/>
        <v>1</v>
      </c>
      <c r="Q466" s="27" t="b">
        <f t="shared" si="8"/>
        <v>0</v>
      </c>
    </row>
    <row r="467">
      <c r="F467" s="8">
        <v>464.0</v>
      </c>
      <c r="G467" s="11">
        <f t="shared" si="1"/>
        <v>1871875</v>
      </c>
      <c r="H467" s="9">
        <f>INT(IF(AND('Lån Översikt'!$D$7="JA", 'Lån Översikt'!$D$11="JA", 'Lån Översikt'!$D$8="JA"), (G467*(('Lån Översikt'!$C$7/100*'Lån Översikt'!$C$11/100)-'Lån Översikt'!$C$8/100))/12, IF(AND('Lån Översikt'!$D$7="JA", 'Lån Översikt'!$D$11="JA", 'Lån Översikt'!$D$8="NEJ"), (G467*(('Lån Översikt'!$C$7/100*'Lån Översikt'!$C$11/100))/12), 0)))
</f>
        <v>4784</v>
      </c>
      <c r="I467" s="8">
        <f t="shared" si="2"/>
        <v>4712</v>
      </c>
      <c r="J467" s="8">
        <f>IF(AND(P467, O467), 0, IF(O467, INT((('Lån Översikt'!$C$5 * 1 / 100) / 12)), INT((('Lån Översikt'!$C$5 * 'Lån Översikt'!$C$15 / 100) / 12))))
</f>
        <v>0</v>
      </c>
      <c r="K467" s="8">
        <f t="shared" si="3"/>
        <v>4166</v>
      </c>
      <c r="L467" s="8">
        <f t="shared" si="4"/>
        <v>13662</v>
      </c>
      <c r="M467" s="8">
        <f>(L467 + 'Lån Översikt'!$D$50)</f>
        <v>35611</v>
      </c>
      <c r="N467" s="8">
        <f>IF('Lån Översikt'!$D$22 = "JA", 
    IF(Q467 = TRUE, 'Lån Översikt'!$D$24 - M467, 'Lån Översikt'!$D$24 - M467 + 18300), 
    'Lån Översikt'!$D$24 - M467)
</f>
        <v>14189</v>
      </c>
      <c r="O467" s="25" t="b">
        <f t="shared" si="5"/>
        <v>1</v>
      </c>
      <c r="P467" s="26" t="b">
        <f t="shared" si="6"/>
        <v>1</v>
      </c>
      <c r="Q467" s="27" t="b">
        <f t="shared" si="8"/>
        <v>0</v>
      </c>
    </row>
    <row r="468">
      <c r="F468" s="8">
        <v>465.0</v>
      </c>
      <c r="G468" s="11">
        <f t="shared" si="1"/>
        <v>1871875</v>
      </c>
      <c r="H468" s="9">
        <f>INT(IF(AND('Lån Översikt'!$D$7="JA", 'Lån Översikt'!$D$11="JA", 'Lån Översikt'!$D$8="JA"), (G468*(('Lån Översikt'!$C$7/100*'Lån Översikt'!$C$11/100)-'Lån Översikt'!$C$8/100))/12, IF(AND('Lån Översikt'!$D$7="JA", 'Lån Översikt'!$D$11="JA", 'Lån Översikt'!$D$8="NEJ"), (G468*(('Lån Översikt'!$C$7/100*'Lån Översikt'!$C$11/100))/12), 0)))
</f>
        <v>4784</v>
      </c>
      <c r="I468" s="8">
        <f t="shared" si="2"/>
        <v>4712</v>
      </c>
      <c r="J468" s="8">
        <f>IF(AND(P468, O468), 0, IF(O468, INT((('Lån Översikt'!$C$5 * 1 / 100) / 12)), INT((('Lån Översikt'!$C$5 * 'Lån Översikt'!$C$15 / 100) / 12))))
</f>
        <v>0</v>
      </c>
      <c r="K468" s="8">
        <f t="shared" si="3"/>
        <v>4166</v>
      </c>
      <c r="L468" s="8">
        <f t="shared" si="4"/>
        <v>13662</v>
      </c>
      <c r="M468" s="8">
        <f>(L468 + 'Lån Översikt'!$D$50)</f>
        <v>35611</v>
      </c>
      <c r="N468" s="8">
        <f>IF('Lån Översikt'!$D$22 = "JA", 
    IF(Q468 = TRUE, 'Lån Översikt'!$D$24 - M468, 'Lån Översikt'!$D$24 - M468 + 18300), 
    'Lån Översikt'!$D$24 - M468)
</f>
        <v>14189</v>
      </c>
      <c r="O468" s="25" t="b">
        <f t="shared" si="5"/>
        <v>1</v>
      </c>
      <c r="P468" s="26" t="b">
        <f t="shared" si="6"/>
        <v>1</v>
      </c>
      <c r="Q468" s="27" t="b">
        <f t="shared" si="8"/>
        <v>0</v>
      </c>
    </row>
    <row r="469">
      <c r="F469" s="8">
        <v>466.0</v>
      </c>
      <c r="G469" s="11">
        <f t="shared" si="1"/>
        <v>1871875</v>
      </c>
      <c r="H469" s="9">
        <f>INT(IF(AND('Lån Översikt'!$D$7="JA", 'Lån Översikt'!$D$11="JA", 'Lån Översikt'!$D$8="JA"), (G469*(('Lån Översikt'!$C$7/100*'Lån Översikt'!$C$11/100)-'Lån Översikt'!$C$8/100))/12, IF(AND('Lån Översikt'!$D$7="JA", 'Lån Översikt'!$D$11="JA", 'Lån Översikt'!$D$8="NEJ"), (G469*(('Lån Översikt'!$C$7/100*'Lån Översikt'!$C$11/100))/12), 0)))
</f>
        <v>4784</v>
      </c>
      <c r="I469" s="8">
        <f t="shared" si="2"/>
        <v>4712</v>
      </c>
      <c r="J469" s="8">
        <f>IF(AND(P469, O469), 0, IF(O469, INT((('Lån Översikt'!$C$5 * 1 / 100) / 12)), INT((('Lån Översikt'!$C$5 * 'Lån Översikt'!$C$15 / 100) / 12))))
</f>
        <v>0</v>
      </c>
      <c r="K469" s="8">
        <f t="shared" si="3"/>
        <v>4166</v>
      </c>
      <c r="L469" s="8">
        <f t="shared" si="4"/>
        <v>13662</v>
      </c>
      <c r="M469" s="8">
        <f>(L469 + 'Lån Översikt'!$D$50)</f>
        <v>35611</v>
      </c>
      <c r="N469" s="8">
        <f>IF('Lån Översikt'!$D$22 = "JA", 
    IF(Q469 = TRUE, 'Lån Översikt'!$D$24 - M469, 'Lån Översikt'!$D$24 - M469 + 18300), 
    'Lån Översikt'!$D$24 - M469)
</f>
        <v>14189</v>
      </c>
      <c r="O469" s="25" t="b">
        <f t="shared" si="5"/>
        <v>1</v>
      </c>
      <c r="P469" s="26" t="b">
        <f t="shared" si="6"/>
        <v>1</v>
      </c>
      <c r="Q469" s="27" t="b">
        <f t="shared" si="8"/>
        <v>0</v>
      </c>
    </row>
    <row r="470">
      <c r="F470" s="8">
        <v>467.0</v>
      </c>
      <c r="G470" s="11">
        <f t="shared" si="1"/>
        <v>1871875</v>
      </c>
      <c r="H470" s="9">
        <f>INT(IF(AND('Lån Översikt'!$D$7="JA", 'Lån Översikt'!$D$11="JA", 'Lån Översikt'!$D$8="JA"), (G470*(('Lån Översikt'!$C$7/100*'Lån Översikt'!$C$11/100)-'Lån Översikt'!$C$8/100))/12, IF(AND('Lån Översikt'!$D$7="JA", 'Lån Översikt'!$D$11="JA", 'Lån Översikt'!$D$8="NEJ"), (G470*(('Lån Översikt'!$C$7/100*'Lån Översikt'!$C$11/100))/12), 0)))
</f>
        <v>4784</v>
      </c>
      <c r="I470" s="8">
        <f t="shared" si="2"/>
        <v>4712</v>
      </c>
      <c r="J470" s="8">
        <f>IF(AND(P470, O470), 0, IF(O470, INT((('Lån Översikt'!$C$5 * 1 / 100) / 12)), INT((('Lån Översikt'!$C$5 * 'Lån Översikt'!$C$15 / 100) / 12))))
</f>
        <v>0</v>
      </c>
      <c r="K470" s="8">
        <f t="shared" si="3"/>
        <v>4166</v>
      </c>
      <c r="L470" s="8">
        <f t="shared" si="4"/>
        <v>13662</v>
      </c>
      <c r="M470" s="8">
        <f>(L470 + 'Lån Översikt'!$D$50)</f>
        <v>35611</v>
      </c>
      <c r="N470" s="8">
        <f>IF('Lån Översikt'!$D$22 = "JA", 
    IF(Q470 = TRUE, 'Lån Översikt'!$D$24 - M470, 'Lån Översikt'!$D$24 - M470 + 18300), 
    'Lån Översikt'!$D$24 - M470)
</f>
        <v>14189</v>
      </c>
      <c r="O470" s="25" t="b">
        <f t="shared" si="5"/>
        <v>1</v>
      </c>
      <c r="P470" s="26" t="b">
        <f t="shared" si="6"/>
        <v>1</v>
      </c>
      <c r="Q470" s="27" t="b">
        <f t="shared" si="8"/>
        <v>0</v>
      </c>
    </row>
    <row r="471">
      <c r="F471" s="8">
        <v>468.0</v>
      </c>
      <c r="G471" s="11">
        <f t="shared" si="1"/>
        <v>1871875</v>
      </c>
      <c r="H471" s="9">
        <f>INT(IF(AND('Lån Översikt'!$D$7="JA", 'Lån Översikt'!$D$11="JA", 'Lån Översikt'!$D$8="JA"), (G471*(('Lån Översikt'!$C$7/100*'Lån Översikt'!$C$11/100)-'Lån Översikt'!$C$8/100))/12, IF(AND('Lån Översikt'!$D$7="JA", 'Lån Översikt'!$D$11="JA", 'Lån Översikt'!$D$8="NEJ"), (G471*(('Lån Översikt'!$C$7/100*'Lån Översikt'!$C$11/100))/12), 0)))
</f>
        <v>4784</v>
      </c>
      <c r="I471" s="8">
        <f t="shared" si="2"/>
        <v>4712</v>
      </c>
      <c r="J471" s="8">
        <f>IF(AND(P471, O471), 0, IF(O471, INT((('Lån Översikt'!$C$5 * 1 / 100) / 12)), INT((('Lån Översikt'!$C$5 * 'Lån Översikt'!$C$15 / 100) / 12))))
</f>
        <v>0</v>
      </c>
      <c r="K471" s="8">
        <f t="shared" si="3"/>
        <v>4166</v>
      </c>
      <c r="L471" s="8">
        <f t="shared" si="4"/>
        <v>13662</v>
      </c>
      <c r="M471" s="8">
        <f>(L471 + 'Lån Översikt'!$D$50)</f>
        <v>35611</v>
      </c>
      <c r="N471" s="8">
        <f>IF('Lån Översikt'!$D$22 = "JA", 
    IF(Q471 = TRUE, 'Lån Översikt'!$D$24 - M471, 'Lån Översikt'!$D$24 - M471 + 18300), 
    'Lån Översikt'!$D$24 - M471)
</f>
        <v>14189</v>
      </c>
      <c r="O471" s="25" t="b">
        <f t="shared" si="5"/>
        <v>1</v>
      </c>
      <c r="P471" s="26" t="b">
        <f t="shared" si="6"/>
        <v>1</v>
      </c>
      <c r="Q471" s="27" t="b">
        <f t="shared" si="8"/>
        <v>0</v>
      </c>
    </row>
    <row r="472">
      <c r="F472" s="8">
        <v>469.0</v>
      </c>
      <c r="G472" s="11">
        <f t="shared" si="1"/>
        <v>1871875</v>
      </c>
      <c r="H472" s="9">
        <f>INT(IF(AND('Lån Översikt'!$D$7="JA", 'Lån Översikt'!$D$11="JA", 'Lån Översikt'!$D$8="JA"), (G472*(('Lån Översikt'!$C$7/100*'Lån Översikt'!$C$11/100)-'Lån Översikt'!$C$8/100))/12, IF(AND('Lån Översikt'!$D$7="JA", 'Lån Översikt'!$D$11="JA", 'Lån Översikt'!$D$8="NEJ"), (G472*(('Lån Översikt'!$C$7/100*'Lån Översikt'!$C$11/100))/12), 0)))
</f>
        <v>4784</v>
      </c>
      <c r="I472" s="8">
        <f t="shared" si="2"/>
        <v>4712</v>
      </c>
      <c r="J472" s="8">
        <f>IF(AND(P472, O472), 0, IF(O472, INT((('Lån Översikt'!$C$5 * 1 / 100) / 12)), INT((('Lån Översikt'!$C$5 * 'Lån Översikt'!$C$15 / 100) / 12))))
</f>
        <v>0</v>
      </c>
      <c r="K472" s="8">
        <f t="shared" si="3"/>
        <v>4166</v>
      </c>
      <c r="L472" s="8">
        <f t="shared" si="4"/>
        <v>13662</v>
      </c>
      <c r="M472" s="8">
        <f>(L472 + 'Lån Översikt'!$D$50)</f>
        <v>35611</v>
      </c>
      <c r="N472" s="8">
        <f>IF('Lån Översikt'!$D$22 = "JA", 
    IF(Q472 = TRUE, 'Lån Översikt'!$D$24 - M472, 'Lån Översikt'!$D$24 - M472 + 18300), 
    'Lån Översikt'!$D$24 - M472)
</f>
        <v>14189</v>
      </c>
      <c r="O472" s="25" t="b">
        <f t="shared" si="5"/>
        <v>1</v>
      </c>
      <c r="P472" s="26" t="b">
        <f t="shared" si="6"/>
        <v>1</v>
      </c>
      <c r="Q472" s="27" t="b">
        <f t="shared" si="8"/>
        <v>0</v>
      </c>
    </row>
    <row r="473">
      <c r="F473" s="8">
        <v>470.0</v>
      </c>
      <c r="G473" s="11">
        <f t="shared" si="1"/>
        <v>1871875</v>
      </c>
      <c r="H473" s="9">
        <f>INT(IF(AND('Lån Översikt'!$D$7="JA", 'Lån Översikt'!$D$11="JA", 'Lån Översikt'!$D$8="JA"), (G473*(('Lån Översikt'!$C$7/100*'Lån Översikt'!$C$11/100)-'Lån Översikt'!$C$8/100))/12, IF(AND('Lån Översikt'!$D$7="JA", 'Lån Översikt'!$D$11="JA", 'Lån Översikt'!$D$8="NEJ"), (G473*(('Lån Översikt'!$C$7/100*'Lån Översikt'!$C$11/100))/12), 0)))
</f>
        <v>4784</v>
      </c>
      <c r="I473" s="8">
        <f t="shared" si="2"/>
        <v>4712</v>
      </c>
      <c r="J473" s="8">
        <f>IF(AND(P473, O473), 0, IF(O473, INT((('Lån Översikt'!$C$5 * 1 / 100) / 12)), INT((('Lån Översikt'!$C$5 * 'Lån Översikt'!$C$15 / 100) / 12))))
</f>
        <v>0</v>
      </c>
      <c r="K473" s="8">
        <f t="shared" si="3"/>
        <v>4166</v>
      </c>
      <c r="L473" s="8">
        <f t="shared" si="4"/>
        <v>13662</v>
      </c>
      <c r="M473" s="8">
        <f>(L473 + 'Lån Översikt'!$D$50)</f>
        <v>35611</v>
      </c>
      <c r="N473" s="8">
        <f>IF('Lån Översikt'!$D$22 = "JA", 
    IF(Q473 = TRUE, 'Lån Översikt'!$D$24 - M473, 'Lån Översikt'!$D$24 - M473 + 18300), 
    'Lån Översikt'!$D$24 - M473)
</f>
        <v>14189</v>
      </c>
      <c r="O473" s="25" t="b">
        <f t="shared" si="5"/>
        <v>1</v>
      </c>
      <c r="P473" s="26" t="b">
        <f t="shared" si="6"/>
        <v>1</v>
      </c>
      <c r="Q473" s="27" t="b">
        <f t="shared" si="8"/>
        <v>0</v>
      </c>
    </row>
    <row r="474">
      <c r="F474" s="8">
        <v>471.0</v>
      </c>
      <c r="G474" s="11">
        <f t="shared" si="1"/>
        <v>1871875</v>
      </c>
      <c r="H474" s="9">
        <f>INT(IF(AND('Lån Översikt'!$D$7="JA", 'Lån Översikt'!$D$11="JA", 'Lån Översikt'!$D$8="JA"), (G474*(('Lån Översikt'!$C$7/100*'Lån Översikt'!$C$11/100)-'Lån Översikt'!$C$8/100))/12, IF(AND('Lån Översikt'!$D$7="JA", 'Lån Översikt'!$D$11="JA", 'Lån Översikt'!$D$8="NEJ"), (G474*(('Lån Översikt'!$C$7/100*'Lån Översikt'!$C$11/100))/12), 0)))
</f>
        <v>4784</v>
      </c>
      <c r="I474" s="8">
        <f t="shared" si="2"/>
        <v>4712</v>
      </c>
      <c r="J474" s="8">
        <f>IF(AND(P474, O474), 0, IF(O474, INT((('Lån Översikt'!$C$5 * 1 / 100) / 12)), INT((('Lån Översikt'!$C$5 * 'Lån Översikt'!$C$15 / 100) / 12))))
</f>
        <v>0</v>
      </c>
      <c r="K474" s="8">
        <f t="shared" si="3"/>
        <v>4166</v>
      </c>
      <c r="L474" s="8">
        <f t="shared" si="4"/>
        <v>13662</v>
      </c>
      <c r="M474" s="8">
        <f>(L474 + 'Lån Översikt'!$D$50)</f>
        <v>35611</v>
      </c>
      <c r="N474" s="8">
        <f>IF('Lån Översikt'!$D$22 = "JA", 
    IF(Q474 = TRUE, 'Lån Översikt'!$D$24 - M474, 'Lån Översikt'!$D$24 - M474 + 18300), 
    'Lån Översikt'!$D$24 - M474)
</f>
        <v>14189</v>
      </c>
      <c r="O474" s="25" t="b">
        <f t="shared" si="5"/>
        <v>1</v>
      </c>
      <c r="P474" s="26" t="b">
        <f t="shared" si="6"/>
        <v>1</v>
      </c>
      <c r="Q474" s="27" t="b">
        <f t="shared" si="8"/>
        <v>0</v>
      </c>
    </row>
    <row r="475">
      <c r="F475" s="8">
        <v>472.0</v>
      </c>
      <c r="G475" s="11">
        <f t="shared" si="1"/>
        <v>1871875</v>
      </c>
      <c r="H475" s="9">
        <f>INT(IF(AND('Lån Översikt'!$D$7="JA", 'Lån Översikt'!$D$11="JA", 'Lån Översikt'!$D$8="JA"), (G475*(('Lån Översikt'!$C$7/100*'Lån Översikt'!$C$11/100)-'Lån Översikt'!$C$8/100))/12, IF(AND('Lån Översikt'!$D$7="JA", 'Lån Översikt'!$D$11="JA", 'Lån Översikt'!$D$8="NEJ"), (G475*(('Lån Översikt'!$C$7/100*'Lån Översikt'!$C$11/100))/12), 0)))
</f>
        <v>4784</v>
      </c>
      <c r="I475" s="8">
        <f t="shared" si="2"/>
        <v>4712</v>
      </c>
      <c r="J475" s="8">
        <f>IF(AND(P475, O475), 0, IF(O475, INT((('Lån Översikt'!$C$5 * 1 / 100) / 12)), INT((('Lån Översikt'!$C$5 * 'Lån Översikt'!$C$15 / 100) / 12))))
</f>
        <v>0</v>
      </c>
      <c r="K475" s="8">
        <f t="shared" si="3"/>
        <v>4166</v>
      </c>
      <c r="L475" s="8">
        <f t="shared" si="4"/>
        <v>13662</v>
      </c>
      <c r="M475" s="8">
        <f>(L475 + 'Lån Översikt'!$D$50)</f>
        <v>35611</v>
      </c>
      <c r="N475" s="8">
        <f>IF('Lån Översikt'!$D$22 = "JA", 
    IF(Q475 = TRUE, 'Lån Översikt'!$D$24 - M475, 'Lån Översikt'!$D$24 - M475 + 18300), 
    'Lån Översikt'!$D$24 - M475)
</f>
        <v>14189</v>
      </c>
      <c r="O475" s="25" t="b">
        <f t="shared" si="5"/>
        <v>1</v>
      </c>
      <c r="P475" s="26" t="b">
        <f t="shared" si="6"/>
        <v>1</v>
      </c>
      <c r="Q475" s="27" t="b">
        <f t="shared" si="8"/>
        <v>0</v>
      </c>
    </row>
    <row r="476">
      <c r="F476" s="8">
        <v>473.0</v>
      </c>
      <c r="G476" s="11">
        <f t="shared" si="1"/>
        <v>1871875</v>
      </c>
      <c r="H476" s="9">
        <f>INT(IF(AND('Lån Översikt'!$D$7="JA", 'Lån Översikt'!$D$11="JA", 'Lån Översikt'!$D$8="JA"), (G476*(('Lån Översikt'!$C$7/100*'Lån Översikt'!$C$11/100)-'Lån Översikt'!$C$8/100))/12, IF(AND('Lån Översikt'!$D$7="JA", 'Lån Översikt'!$D$11="JA", 'Lån Översikt'!$D$8="NEJ"), (G476*(('Lån Översikt'!$C$7/100*'Lån Översikt'!$C$11/100))/12), 0)))
</f>
        <v>4784</v>
      </c>
      <c r="I476" s="8">
        <f t="shared" si="2"/>
        <v>4712</v>
      </c>
      <c r="J476" s="8">
        <f>IF(AND(P476, O476), 0, IF(O476, INT((('Lån Översikt'!$C$5 * 1 / 100) / 12)), INT((('Lån Översikt'!$C$5 * 'Lån Översikt'!$C$15 / 100) / 12))))
</f>
        <v>0</v>
      </c>
      <c r="K476" s="8">
        <f t="shared" si="3"/>
        <v>4166</v>
      </c>
      <c r="L476" s="8">
        <f t="shared" si="4"/>
        <v>13662</v>
      </c>
      <c r="M476" s="8">
        <f>(L476 + 'Lån Översikt'!$D$50)</f>
        <v>35611</v>
      </c>
      <c r="N476" s="8">
        <f>IF('Lån Översikt'!$D$22 = "JA", 
    IF(Q476 = TRUE, 'Lån Översikt'!$D$24 - M476, 'Lån Översikt'!$D$24 - M476 + 18300), 
    'Lån Översikt'!$D$24 - M476)
</f>
        <v>14189</v>
      </c>
      <c r="O476" s="25" t="b">
        <f t="shared" si="5"/>
        <v>1</v>
      </c>
      <c r="P476" s="26" t="b">
        <f t="shared" si="6"/>
        <v>1</v>
      </c>
      <c r="Q476" s="27" t="b">
        <f t="shared" si="8"/>
        <v>0</v>
      </c>
    </row>
    <row r="477">
      <c r="F477" s="8">
        <v>474.0</v>
      </c>
      <c r="G477" s="11">
        <f t="shared" si="1"/>
        <v>1871875</v>
      </c>
      <c r="H477" s="9">
        <f>INT(IF(AND('Lån Översikt'!$D$7="JA", 'Lån Översikt'!$D$11="JA", 'Lån Översikt'!$D$8="JA"), (G477*(('Lån Översikt'!$C$7/100*'Lån Översikt'!$C$11/100)-'Lån Översikt'!$C$8/100))/12, IF(AND('Lån Översikt'!$D$7="JA", 'Lån Översikt'!$D$11="JA", 'Lån Översikt'!$D$8="NEJ"), (G477*(('Lån Översikt'!$C$7/100*'Lån Översikt'!$C$11/100))/12), 0)))
</f>
        <v>4784</v>
      </c>
      <c r="I477" s="8">
        <f t="shared" si="2"/>
        <v>4712</v>
      </c>
      <c r="J477" s="8">
        <f>IF(AND(P477, O477), 0, IF(O477, INT((('Lån Översikt'!$C$5 * 1 / 100) / 12)), INT((('Lån Översikt'!$C$5 * 'Lån Översikt'!$C$15 / 100) / 12))))
</f>
        <v>0</v>
      </c>
      <c r="K477" s="8">
        <f t="shared" si="3"/>
        <v>4166</v>
      </c>
      <c r="L477" s="8">
        <f t="shared" si="4"/>
        <v>13662</v>
      </c>
      <c r="M477" s="8">
        <f>(L477 + 'Lån Översikt'!$D$50)</f>
        <v>35611</v>
      </c>
      <c r="N477" s="8">
        <f>IF('Lån Översikt'!$D$22 = "JA", 
    IF(Q477 = TRUE, 'Lån Översikt'!$D$24 - M477, 'Lån Översikt'!$D$24 - M477 + 18300), 
    'Lån Översikt'!$D$24 - M477)
</f>
        <v>14189</v>
      </c>
      <c r="O477" s="25" t="b">
        <f t="shared" si="5"/>
        <v>1</v>
      </c>
      <c r="P477" s="26" t="b">
        <f t="shared" si="6"/>
        <v>1</v>
      </c>
      <c r="Q477" s="27" t="b">
        <f t="shared" si="8"/>
        <v>0</v>
      </c>
    </row>
    <row r="478">
      <c r="F478" s="8">
        <v>475.0</v>
      </c>
      <c r="G478" s="11">
        <f t="shared" si="1"/>
        <v>1871875</v>
      </c>
      <c r="H478" s="9">
        <f>INT(IF(AND('Lån Översikt'!$D$7="JA", 'Lån Översikt'!$D$11="JA", 'Lån Översikt'!$D$8="JA"), (G478*(('Lån Översikt'!$C$7/100*'Lån Översikt'!$C$11/100)-'Lån Översikt'!$C$8/100))/12, IF(AND('Lån Översikt'!$D$7="JA", 'Lån Översikt'!$D$11="JA", 'Lån Översikt'!$D$8="NEJ"), (G478*(('Lån Översikt'!$C$7/100*'Lån Översikt'!$C$11/100))/12), 0)))
</f>
        <v>4784</v>
      </c>
      <c r="I478" s="8">
        <f t="shared" si="2"/>
        <v>4712</v>
      </c>
      <c r="J478" s="8">
        <f>IF(AND(P478, O478), 0, IF(O478, INT((('Lån Översikt'!$C$5 * 1 / 100) / 12)), INT((('Lån Översikt'!$C$5 * 'Lån Översikt'!$C$15 / 100) / 12))))
</f>
        <v>0</v>
      </c>
      <c r="K478" s="8">
        <f t="shared" si="3"/>
        <v>4166</v>
      </c>
      <c r="L478" s="8">
        <f t="shared" si="4"/>
        <v>13662</v>
      </c>
      <c r="M478" s="8">
        <f>(L478 + 'Lån Översikt'!$D$50)</f>
        <v>35611</v>
      </c>
      <c r="N478" s="8">
        <f>IF('Lån Översikt'!$D$22 = "JA", 
    IF(Q478 = TRUE, 'Lån Översikt'!$D$24 - M478, 'Lån Översikt'!$D$24 - M478 + 18300), 
    'Lån Översikt'!$D$24 - M478)
</f>
        <v>14189</v>
      </c>
      <c r="O478" s="25" t="b">
        <f t="shared" si="5"/>
        <v>1</v>
      </c>
      <c r="P478" s="26" t="b">
        <f t="shared" si="6"/>
        <v>1</v>
      </c>
      <c r="Q478" s="27" t="b">
        <f t="shared" si="8"/>
        <v>0</v>
      </c>
    </row>
    <row r="479">
      <c r="F479" s="8">
        <v>476.0</v>
      </c>
      <c r="G479" s="11">
        <f t="shared" si="1"/>
        <v>1871875</v>
      </c>
      <c r="H479" s="9">
        <f>INT(IF(AND('Lån Översikt'!$D$7="JA", 'Lån Översikt'!$D$11="JA", 'Lån Översikt'!$D$8="JA"), (G479*(('Lån Översikt'!$C$7/100*'Lån Översikt'!$C$11/100)-'Lån Översikt'!$C$8/100))/12, IF(AND('Lån Översikt'!$D$7="JA", 'Lån Översikt'!$D$11="JA", 'Lån Översikt'!$D$8="NEJ"), (G479*(('Lån Översikt'!$C$7/100*'Lån Översikt'!$C$11/100))/12), 0)))
</f>
        <v>4784</v>
      </c>
      <c r="I479" s="8">
        <f t="shared" si="2"/>
        <v>4712</v>
      </c>
      <c r="J479" s="8">
        <f>IF(AND(P479, O479), 0, IF(O479, INT((('Lån Översikt'!$C$5 * 1 / 100) / 12)), INT((('Lån Översikt'!$C$5 * 'Lån Översikt'!$C$15 / 100) / 12))))
</f>
        <v>0</v>
      </c>
      <c r="K479" s="8">
        <f t="shared" si="3"/>
        <v>4166</v>
      </c>
      <c r="L479" s="8">
        <f t="shared" si="4"/>
        <v>13662</v>
      </c>
      <c r="M479" s="8">
        <f>(L479 + 'Lån Översikt'!$D$50)</f>
        <v>35611</v>
      </c>
      <c r="N479" s="8">
        <f>IF('Lån Översikt'!$D$22 = "JA", 
    IF(Q479 = TRUE, 'Lån Översikt'!$D$24 - M479, 'Lån Översikt'!$D$24 - M479 + 18300), 
    'Lån Översikt'!$D$24 - M479)
</f>
        <v>14189</v>
      </c>
      <c r="O479" s="25" t="b">
        <f t="shared" si="5"/>
        <v>1</v>
      </c>
      <c r="P479" s="26" t="b">
        <f t="shared" si="6"/>
        <v>1</v>
      </c>
      <c r="Q479" s="27" t="b">
        <f t="shared" si="8"/>
        <v>0</v>
      </c>
    </row>
    <row r="480">
      <c r="F480" s="8">
        <v>477.0</v>
      </c>
      <c r="G480" s="11">
        <f t="shared" si="1"/>
        <v>1871875</v>
      </c>
      <c r="H480" s="9">
        <f>INT(IF(AND('Lån Översikt'!$D$7="JA", 'Lån Översikt'!$D$11="JA", 'Lån Översikt'!$D$8="JA"), (G480*(('Lån Översikt'!$C$7/100*'Lån Översikt'!$C$11/100)-'Lån Översikt'!$C$8/100))/12, IF(AND('Lån Översikt'!$D$7="JA", 'Lån Översikt'!$D$11="JA", 'Lån Översikt'!$D$8="NEJ"), (G480*(('Lån Översikt'!$C$7/100*'Lån Översikt'!$C$11/100))/12), 0)))
</f>
        <v>4784</v>
      </c>
      <c r="I480" s="8">
        <f t="shared" si="2"/>
        <v>4712</v>
      </c>
      <c r="J480" s="8">
        <f>IF(AND(P480, O480), 0, IF(O480, INT((('Lån Översikt'!$C$5 * 1 / 100) / 12)), INT((('Lån Översikt'!$C$5 * 'Lån Översikt'!$C$15 / 100) / 12))))
</f>
        <v>0</v>
      </c>
      <c r="K480" s="8">
        <f t="shared" si="3"/>
        <v>4166</v>
      </c>
      <c r="L480" s="8">
        <f t="shared" si="4"/>
        <v>13662</v>
      </c>
      <c r="M480" s="8">
        <f>(L480 + 'Lån Översikt'!$D$50)</f>
        <v>35611</v>
      </c>
      <c r="N480" s="8">
        <f>IF('Lån Översikt'!$D$22 = "JA", 
    IF(Q480 = TRUE, 'Lån Översikt'!$D$24 - M480, 'Lån Översikt'!$D$24 - M480 + 18300), 
    'Lån Översikt'!$D$24 - M480)
</f>
        <v>14189</v>
      </c>
      <c r="O480" s="25" t="b">
        <f t="shared" si="5"/>
        <v>1</v>
      </c>
      <c r="P480" s="26" t="b">
        <f t="shared" si="6"/>
        <v>1</v>
      </c>
      <c r="Q480" s="27" t="b">
        <f t="shared" si="8"/>
        <v>0</v>
      </c>
    </row>
    <row r="481">
      <c r="F481" s="8">
        <v>478.0</v>
      </c>
      <c r="G481" s="11">
        <f t="shared" si="1"/>
        <v>1871875</v>
      </c>
      <c r="H481" s="9">
        <f>INT(IF(AND('Lån Översikt'!$D$7="JA", 'Lån Översikt'!$D$11="JA", 'Lån Översikt'!$D$8="JA"), (G481*(('Lån Översikt'!$C$7/100*'Lån Översikt'!$C$11/100)-'Lån Översikt'!$C$8/100))/12, IF(AND('Lån Översikt'!$D$7="JA", 'Lån Översikt'!$D$11="JA", 'Lån Översikt'!$D$8="NEJ"), (G481*(('Lån Översikt'!$C$7/100*'Lån Översikt'!$C$11/100))/12), 0)))
</f>
        <v>4784</v>
      </c>
      <c r="I481" s="8">
        <f t="shared" si="2"/>
        <v>4712</v>
      </c>
      <c r="J481" s="8">
        <f>IF(AND(P481, O481), 0, IF(O481, INT((('Lån Översikt'!$C$5 * 1 / 100) / 12)), INT((('Lån Översikt'!$C$5 * 'Lån Översikt'!$C$15 / 100) / 12))))
</f>
        <v>0</v>
      </c>
      <c r="K481" s="8">
        <f t="shared" si="3"/>
        <v>4166</v>
      </c>
      <c r="L481" s="8">
        <f t="shared" si="4"/>
        <v>13662</v>
      </c>
      <c r="M481" s="8">
        <f>(L481 + 'Lån Översikt'!$D$50)</f>
        <v>35611</v>
      </c>
      <c r="N481" s="8">
        <f>IF('Lån Översikt'!$D$22 = "JA", 
    IF(Q481 = TRUE, 'Lån Översikt'!$D$24 - M481, 'Lån Översikt'!$D$24 - M481 + 18300), 
    'Lån Översikt'!$D$24 - M481)
</f>
        <v>14189</v>
      </c>
      <c r="O481" s="25" t="b">
        <f t="shared" si="5"/>
        <v>1</v>
      </c>
      <c r="P481" s="26" t="b">
        <f t="shared" si="6"/>
        <v>1</v>
      </c>
      <c r="Q481" s="27" t="b">
        <f t="shared" si="8"/>
        <v>0</v>
      </c>
    </row>
    <row r="482">
      <c r="F482" s="8">
        <v>479.0</v>
      </c>
      <c r="G482" s="11">
        <f t="shared" si="1"/>
        <v>1871875</v>
      </c>
      <c r="H482" s="9">
        <f>INT(IF(AND('Lån Översikt'!$D$7="JA", 'Lån Översikt'!$D$11="JA", 'Lån Översikt'!$D$8="JA"), (G482*(('Lån Översikt'!$C$7/100*'Lån Översikt'!$C$11/100)-'Lån Översikt'!$C$8/100))/12, IF(AND('Lån Översikt'!$D$7="JA", 'Lån Översikt'!$D$11="JA", 'Lån Översikt'!$D$8="NEJ"), (G482*(('Lån Översikt'!$C$7/100*'Lån Översikt'!$C$11/100))/12), 0)))
</f>
        <v>4784</v>
      </c>
      <c r="I482" s="8">
        <f t="shared" si="2"/>
        <v>4712</v>
      </c>
      <c r="J482" s="8">
        <f>IF(AND(P482, O482), 0, IF(O482, INT((('Lån Översikt'!$C$5 * 1 / 100) / 12)), INT((('Lån Översikt'!$C$5 * 'Lån Översikt'!$C$15 / 100) / 12))))
</f>
        <v>0</v>
      </c>
      <c r="K482" s="8">
        <f t="shared" si="3"/>
        <v>4166</v>
      </c>
      <c r="L482" s="8">
        <f t="shared" si="4"/>
        <v>13662</v>
      </c>
      <c r="M482" s="8">
        <f>(L482 + 'Lån Översikt'!$D$50)</f>
        <v>35611</v>
      </c>
      <c r="N482" s="8">
        <f>IF('Lån Översikt'!$D$22 = "JA", 
    IF(Q482 = TRUE, 'Lån Översikt'!$D$24 - M482, 'Lån Översikt'!$D$24 - M482 + 18300), 
    'Lån Översikt'!$D$24 - M482)
</f>
        <v>14189</v>
      </c>
      <c r="O482" s="25" t="b">
        <f t="shared" si="5"/>
        <v>1</v>
      </c>
      <c r="P482" s="26" t="b">
        <f t="shared" si="6"/>
        <v>1</v>
      </c>
      <c r="Q482" s="27" t="b">
        <f t="shared" si="8"/>
        <v>0</v>
      </c>
    </row>
    <row r="483">
      <c r="F483" s="8">
        <v>480.0</v>
      </c>
      <c r="G483" s="11">
        <f t="shared" si="1"/>
        <v>1871875</v>
      </c>
      <c r="H483" s="9">
        <f>INT(IF(AND('Lån Översikt'!$D$7="JA", 'Lån Översikt'!$D$11="JA", 'Lån Översikt'!$D$8="JA"), (G483*(('Lån Översikt'!$C$7/100*'Lån Översikt'!$C$11/100)-'Lån Översikt'!$C$8/100))/12, IF(AND('Lån Översikt'!$D$7="JA", 'Lån Översikt'!$D$11="JA", 'Lån Översikt'!$D$8="NEJ"), (G483*(('Lån Översikt'!$C$7/100*'Lån Översikt'!$C$11/100))/12), 0)))
</f>
        <v>4784</v>
      </c>
      <c r="I483" s="8">
        <f t="shared" si="2"/>
        <v>4712</v>
      </c>
      <c r="J483" s="8">
        <f>IF(AND(P483, O483), 0, IF(O483, INT((('Lån Översikt'!$C$5 * 1 / 100) / 12)), INT((('Lån Översikt'!$C$5 * 'Lån Översikt'!$C$15 / 100) / 12))))
</f>
        <v>0</v>
      </c>
      <c r="K483" s="8">
        <f t="shared" si="3"/>
        <v>4166</v>
      </c>
      <c r="L483" s="8">
        <f t="shared" si="4"/>
        <v>13662</v>
      </c>
      <c r="M483" s="8">
        <f>(L483 + 'Lån Översikt'!$D$50)</f>
        <v>35611</v>
      </c>
      <c r="N483" s="8">
        <f>IF('Lån Översikt'!$D$22 = "JA", 
    IF(Q483 = TRUE, 'Lån Översikt'!$D$24 - M483, 'Lån Översikt'!$D$24 - M483 + 18300), 
    'Lån Översikt'!$D$24 - M483)
</f>
        <v>14189</v>
      </c>
      <c r="O483" s="25" t="b">
        <f t="shared" si="5"/>
        <v>1</v>
      </c>
      <c r="P483" s="26" t="b">
        <f t="shared" si="6"/>
        <v>1</v>
      </c>
      <c r="Q483" s="27" t="b">
        <f t="shared" si="8"/>
        <v>0</v>
      </c>
    </row>
    <row r="484">
      <c r="F484" s="8">
        <v>481.0</v>
      </c>
      <c r="G484" s="11">
        <f t="shared" si="1"/>
        <v>1871875</v>
      </c>
      <c r="H484" s="9">
        <f>INT(IF(AND('Lån Översikt'!$D$7="JA", 'Lån Översikt'!$D$11="JA", 'Lån Översikt'!$D$8="JA"), (G484*(('Lån Översikt'!$C$7/100*'Lån Översikt'!$C$11/100)-'Lån Översikt'!$C$8/100))/12, IF(AND('Lån Översikt'!$D$7="JA", 'Lån Översikt'!$D$11="JA", 'Lån Översikt'!$D$8="NEJ"), (G484*(('Lån Översikt'!$C$7/100*'Lån Översikt'!$C$11/100))/12), 0)))
</f>
        <v>4784</v>
      </c>
      <c r="I484" s="8">
        <f t="shared" si="2"/>
        <v>4712</v>
      </c>
      <c r="J484" s="8">
        <f>IF(AND(P484, O484), 0, IF(O484, INT((('Lån Översikt'!$C$5 * 1 / 100) / 12)), INT((('Lån Översikt'!$C$5 * 'Lån Översikt'!$C$15 / 100) / 12))))
</f>
        <v>0</v>
      </c>
      <c r="K484" s="8">
        <f t="shared" si="3"/>
        <v>4166</v>
      </c>
      <c r="L484" s="8">
        <f t="shared" si="4"/>
        <v>13662</v>
      </c>
      <c r="M484" s="8">
        <f>(L484 + 'Lån Översikt'!$D$50)</f>
        <v>35611</v>
      </c>
      <c r="N484" s="8">
        <f>IF('Lån Översikt'!$D$22 = "JA", 
    IF(Q484 = TRUE, 'Lån Översikt'!$D$24 - M484, 'Lån Översikt'!$D$24 - M484 + 18300), 
    'Lån Översikt'!$D$24 - M484)
</f>
        <v>14189</v>
      </c>
      <c r="O484" s="25" t="b">
        <f t="shared" si="5"/>
        <v>1</v>
      </c>
      <c r="P484" s="26" t="b">
        <f t="shared" si="6"/>
        <v>1</v>
      </c>
      <c r="Q484" s="27" t="b">
        <f t="shared" si="8"/>
        <v>0</v>
      </c>
    </row>
    <row r="485">
      <c r="F485" s="8">
        <v>482.0</v>
      </c>
      <c r="G485" s="11">
        <f t="shared" si="1"/>
        <v>1871875</v>
      </c>
      <c r="H485" s="9">
        <f>INT(IF(AND('Lån Översikt'!$D$7="JA", 'Lån Översikt'!$D$11="JA", 'Lån Översikt'!$D$8="JA"), (G485*(('Lån Översikt'!$C$7/100*'Lån Översikt'!$C$11/100)-'Lån Översikt'!$C$8/100))/12, IF(AND('Lån Översikt'!$D$7="JA", 'Lån Översikt'!$D$11="JA", 'Lån Översikt'!$D$8="NEJ"), (G485*(('Lån Översikt'!$C$7/100*'Lån Översikt'!$C$11/100))/12), 0)))
</f>
        <v>4784</v>
      </c>
      <c r="I485" s="8">
        <f t="shared" si="2"/>
        <v>4712</v>
      </c>
      <c r="J485" s="8">
        <f>IF(AND(P485, O485), 0, IF(O485, INT((('Lån Översikt'!$C$5 * 1 / 100) / 12)), INT((('Lån Översikt'!$C$5 * 'Lån Översikt'!$C$15 / 100) / 12))))
</f>
        <v>0</v>
      </c>
      <c r="K485" s="8">
        <f t="shared" si="3"/>
        <v>4166</v>
      </c>
      <c r="L485" s="8">
        <f t="shared" si="4"/>
        <v>13662</v>
      </c>
      <c r="M485" s="8">
        <f>(L485 + 'Lån Översikt'!$D$50)</f>
        <v>35611</v>
      </c>
      <c r="N485" s="8">
        <f>IF('Lån Översikt'!$D$22 = "JA", 
    IF(Q485 = TRUE, 'Lån Översikt'!$D$24 - M485, 'Lån Översikt'!$D$24 - M485 + 18300), 
    'Lån Översikt'!$D$24 - M485)
</f>
        <v>14189</v>
      </c>
      <c r="O485" s="25" t="b">
        <f t="shared" si="5"/>
        <v>1</v>
      </c>
      <c r="P485" s="26" t="b">
        <f t="shared" si="6"/>
        <v>1</v>
      </c>
      <c r="Q485" s="27" t="b">
        <f t="shared" si="8"/>
        <v>0</v>
      </c>
    </row>
    <row r="486">
      <c r="F486" s="8">
        <v>483.0</v>
      </c>
      <c r="G486" s="11">
        <f t="shared" si="1"/>
        <v>1871875</v>
      </c>
      <c r="H486" s="9">
        <f>INT(IF(AND('Lån Översikt'!$D$7="JA", 'Lån Översikt'!$D$11="JA", 'Lån Översikt'!$D$8="JA"), (G486*(('Lån Översikt'!$C$7/100*'Lån Översikt'!$C$11/100)-'Lån Översikt'!$C$8/100))/12, IF(AND('Lån Översikt'!$D$7="JA", 'Lån Översikt'!$D$11="JA", 'Lån Översikt'!$D$8="NEJ"), (G486*(('Lån Översikt'!$C$7/100*'Lån Översikt'!$C$11/100))/12), 0)))
</f>
        <v>4784</v>
      </c>
      <c r="I486" s="8">
        <f t="shared" si="2"/>
        <v>4712</v>
      </c>
      <c r="J486" s="8">
        <f>IF(AND(P486, O486), 0, IF(O486, INT((('Lån Översikt'!$C$5 * 1 / 100) / 12)), INT((('Lån Översikt'!$C$5 * 'Lån Översikt'!$C$15 / 100) / 12))))
</f>
        <v>0</v>
      </c>
      <c r="K486" s="8">
        <f t="shared" si="3"/>
        <v>4166</v>
      </c>
      <c r="L486" s="8">
        <f t="shared" si="4"/>
        <v>13662</v>
      </c>
      <c r="M486" s="8">
        <f>(L486 + 'Lån Översikt'!$D$50)</f>
        <v>35611</v>
      </c>
      <c r="N486" s="8">
        <f>IF('Lån Översikt'!$D$22 = "JA", 
    IF(Q486 = TRUE, 'Lån Översikt'!$D$24 - M486, 'Lån Översikt'!$D$24 - M486 + 18300), 
    'Lån Översikt'!$D$24 - M486)
</f>
        <v>14189</v>
      </c>
      <c r="O486" s="25" t="b">
        <f t="shared" si="5"/>
        <v>1</v>
      </c>
      <c r="P486" s="26" t="b">
        <f t="shared" si="6"/>
        <v>1</v>
      </c>
      <c r="Q486" s="27" t="b">
        <f t="shared" si="8"/>
        <v>0</v>
      </c>
    </row>
    <row r="487">
      <c r="F487" s="8">
        <v>484.0</v>
      </c>
      <c r="G487" s="11">
        <f t="shared" si="1"/>
        <v>1871875</v>
      </c>
      <c r="H487" s="9">
        <f>INT(IF(AND('Lån Översikt'!$D$7="JA", 'Lån Översikt'!$D$11="JA", 'Lån Översikt'!$D$8="JA"), (G487*(('Lån Översikt'!$C$7/100*'Lån Översikt'!$C$11/100)-'Lån Översikt'!$C$8/100))/12, IF(AND('Lån Översikt'!$D$7="JA", 'Lån Översikt'!$D$11="JA", 'Lån Översikt'!$D$8="NEJ"), (G487*(('Lån Översikt'!$C$7/100*'Lån Översikt'!$C$11/100))/12), 0)))
</f>
        <v>4784</v>
      </c>
      <c r="I487" s="8">
        <f t="shared" si="2"/>
        <v>4712</v>
      </c>
      <c r="J487" s="8">
        <f>IF(AND(P487, O487), 0, IF(O487, INT((('Lån Översikt'!$C$5 * 1 / 100) / 12)), INT((('Lån Översikt'!$C$5 * 'Lån Översikt'!$C$15 / 100) / 12))))
</f>
        <v>0</v>
      </c>
      <c r="K487" s="8">
        <f t="shared" si="3"/>
        <v>4166</v>
      </c>
      <c r="L487" s="8">
        <f t="shared" si="4"/>
        <v>13662</v>
      </c>
      <c r="M487" s="8">
        <f>(L487 + 'Lån Översikt'!$D$50)</f>
        <v>35611</v>
      </c>
      <c r="N487" s="8">
        <f>IF('Lån Översikt'!$D$22 = "JA", 
    IF(Q487 = TRUE, 'Lån Översikt'!$D$24 - M487, 'Lån Översikt'!$D$24 - M487 + 18300), 
    'Lån Översikt'!$D$24 - M487)
</f>
        <v>14189</v>
      </c>
      <c r="O487" s="25" t="b">
        <f t="shared" si="5"/>
        <v>1</v>
      </c>
      <c r="P487" s="26" t="b">
        <f t="shared" si="6"/>
        <v>1</v>
      </c>
      <c r="Q487" s="27" t="b">
        <f t="shared" si="8"/>
        <v>0</v>
      </c>
    </row>
    <row r="488">
      <c r="F488" s="8">
        <v>485.0</v>
      </c>
      <c r="G488" s="11">
        <f t="shared" si="1"/>
        <v>1871875</v>
      </c>
      <c r="H488" s="9">
        <f>INT(IF(AND('Lån Översikt'!$D$7="JA", 'Lån Översikt'!$D$11="JA", 'Lån Översikt'!$D$8="JA"), (G488*(('Lån Översikt'!$C$7/100*'Lån Översikt'!$C$11/100)-'Lån Översikt'!$C$8/100))/12, IF(AND('Lån Översikt'!$D$7="JA", 'Lån Översikt'!$D$11="JA", 'Lån Översikt'!$D$8="NEJ"), (G488*(('Lån Översikt'!$C$7/100*'Lån Översikt'!$C$11/100))/12), 0)))
</f>
        <v>4784</v>
      </c>
      <c r="I488" s="8">
        <f t="shared" si="2"/>
        <v>4712</v>
      </c>
      <c r="J488" s="8">
        <f>IF(AND(P488, O488), 0, IF(O488, INT((('Lån Översikt'!$C$5 * 1 / 100) / 12)), INT((('Lån Översikt'!$C$5 * 'Lån Översikt'!$C$15 / 100) / 12))))
</f>
        <v>0</v>
      </c>
      <c r="K488" s="8">
        <f t="shared" si="3"/>
        <v>4166</v>
      </c>
      <c r="L488" s="8">
        <f t="shared" si="4"/>
        <v>13662</v>
      </c>
      <c r="M488" s="8">
        <f>(L488 + 'Lån Översikt'!$D$50)</f>
        <v>35611</v>
      </c>
      <c r="N488" s="8">
        <f>IF('Lån Översikt'!$D$22 = "JA", 
    IF(Q488 = TRUE, 'Lån Översikt'!$D$24 - M488, 'Lån Översikt'!$D$24 - M488 + 18300), 
    'Lån Översikt'!$D$24 - M488)
</f>
        <v>14189</v>
      </c>
      <c r="O488" s="25" t="b">
        <f t="shared" si="5"/>
        <v>1</v>
      </c>
      <c r="P488" s="26" t="b">
        <f t="shared" si="6"/>
        <v>1</v>
      </c>
      <c r="Q488" s="27" t="b">
        <f t="shared" si="8"/>
        <v>0</v>
      </c>
    </row>
    <row r="489">
      <c r="F489" s="8">
        <v>486.0</v>
      </c>
      <c r="G489" s="11">
        <f t="shared" si="1"/>
        <v>1871875</v>
      </c>
      <c r="H489" s="9">
        <f>INT(IF(AND('Lån Översikt'!$D$7="JA", 'Lån Översikt'!$D$11="JA", 'Lån Översikt'!$D$8="JA"), (G489*(('Lån Översikt'!$C$7/100*'Lån Översikt'!$C$11/100)-'Lån Översikt'!$C$8/100))/12, IF(AND('Lån Översikt'!$D$7="JA", 'Lån Översikt'!$D$11="JA", 'Lån Översikt'!$D$8="NEJ"), (G489*(('Lån Översikt'!$C$7/100*'Lån Översikt'!$C$11/100))/12), 0)))
</f>
        <v>4784</v>
      </c>
      <c r="I489" s="8">
        <f t="shared" si="2"/>
        <v>4712</v>
      </c>
      <c r="J489" s="8">
        <f>IF(AND(P489, O489), 0, IF(O489, INT((('Lån Översikt'!$C$5 * 1 / 100) / 12)), INT((('Lån Översikt'!$C$5 * 'Lån Översikt'!$C$15 / 100) / 12))))
</f>
        <v>0</v>
      </c>
      <c r="K489" s="8">
        <f t="shared" si="3"/>
        <v>4166</v>
      </c>
      <c r="L489" s="8">
        <f t="shared" si="4"/>
        <v>13662</v>
      </c>
      <c r="M489" s="8">
        <f>(L489 + 'Lån Översikt'!$D$50)</f>
        <v>35611</v>
      </c>
      <c r="N489" s="8">
        <f>IF('Lån Översikt'!$D$22 = "JA", 
    IF(Q489 = TRUE, 'Lån Översikt'!$D$24 - M489, 'Lån Översikt'!$D$24 - M489 + 18300), 
    'Lån Översikt'!$D$24 - M489)
</f>
        <v>14189</v>
      </c>
      <c r="O489" s="25" t="b">
        <f t="shared" si="5"/>
        <v>1</v>
      </c>
      <c r="P489" s="26" t="b">
        <f t="shared" si="6"/>
        <v>1</v>
      </c>
      <c r="Q489" s="27" t="b">
        <f t="shared" si="8"/>
        <v>0</v>
      </c>
    </row>
    <row r="490">
      <c r="F490" s="8">
        <v>487.0</v>
      </c>
      <c r="G490" s="11">
        <f t="shared" si="1"/>
        <v>1871875</v>
      </c>
      <c r="H490" s="9">
        <f>INT(IF(AND('Lån Översikt'!$D$7="JA", 'Lån Översikt'!$D$11="JA", 'Lån Översikt'!$D$8="JA"), (G490*(('Lån Översikt'!$C$7/100*'Lån Översikt'!$C$11/100)-'Lån Översikt'!$C$8/100))/12, IF(AND('Lån Översikt'!$D$7="JA", 'Lån Översikt'!$D$11="JA", 'Lån Översikt'!$D$8="NEJ"), (G490*(('Lån Översikt'!$C$7/100*'Lån Översikt'!$C$11/100))/12), 0)))
</f>
        <v>4784</v>
      </c>
      <c r="I490" s="8">
        <f t="shared" si="2"/>
        <v>4712</v>
      </c>
      <c r="J490" s="8">
        <f>IF(AND(P490, O490), 0, IF(O490, INT((('Lån Översikt'!$C$5 * 1 / 100) / 12)), INT((('Lån Översikt'!$C$5 * 'Lån Översikt'!$C$15 / 100) / 12))))
</f>
        <v>0</v>
      </c>
      <c r="K490" s="8">
        <f t="shared" si="3"/>
        <v>4166</v>
      </c>
      <c r="L490" s="8">
        <f t="shared" si="4"/>
        <v>13662</v>
      </c>
      <c r="M490" s="8">
        <f>(L490 + 'Lån Översikt'!$D$50)</f>
        <v>35611</v>
      </c>
      <c r="N490" s="8">
        <f>IF('Lån Översikt'!$D$22 = "JA", 
    IF(Q490 = TRUE, 'Lån Översikt'!$D$24 - M490, 'Lån Översikt'!$D$24 - M490 + 18300), 
    'Lån Översikt'!$D$24 - M490)
</f>
        <v>14189</v>
      </c>
      <c r="O490" s="25" t="b">
        <f t="shared" si="5"/>
        <v>1</v>
      </c>
      <c r="P490" s="26" t="b">
        <f t="shared" si="6"/>
        <v>1</v>
      </c>
      <c r="Q490" s="27" t="b">
        <f t="shared" si="8"/>
        <v>0</v>
      </c>
    </row>
    <row r="491">
      <c r="F491" s="8">
        <v>488.0</v>
      </c>
      <c r="G491" s="11">
        <f t="shared" si="1"/>
        <v>1871875</v>
      </c>
      <c r="H491" s="9">
        <f>INT(IF(AND('Lån Översikt'!$D$7="JA", 'Lån Översikt'!$D$11="JA", 'Lån Översikt'!$D$8="JA"), (G491*(('Lån Översikt'!$C$7/100*'Lån Översikt'!$C$11/100)-'Lån Översikt'!$C$8/100))/12, IF(AND('Lån Översikt'!$D$7="JA", 'Lån Översikt'!$D$11="JA", 'Lån Översikt'!$D$8="NEJ"), (G491*(('Lån Översikt'!$C$7/100*'Lån Översikt'!$C$11/100))/12), 0)))
</f>
        <v>4784</v>
      </c>
      <c r="I491" s="8">
        <f t="shared" si="2"/>
        <v>4712</v>
      </c>
      <c r="J491" s="8">
        <f>IF(AND(P491, O491), 0, IF(O491, INT((('Lån Översikt'!$C$5 * 1 / 100) / 12)), INT((('Lån Översikt'!$C$5 * 'Lån Översikt'!$C$15 / 100) / 12))))
</f>
        <v>0</v>
      </c>
      <c r="K491" s="8">
        <f t="shared" si="3"/>
        <v>4166</v>
      </c>
      <c r="L491" s="8">
        <f t="shared" si="4"/>
        <v>13662</v>
      </c>
      <c r="M491" s="8">
        <f>(L491 + 'Lån Översikt'!$D$50)</f>
        <v>35611</v>
      </c>
      <c r="N491" s="8">
        <f>IF('Lån Översikt'!$D$22 = "JA", 
    IF(Q491 = TRUE, 'Lån Översikt'!$D$24 - M491, 'Lån Översikt'!$D$24 - M491 + 18300), 
    'Lån Översikt'!$D$24 - M491)
</f>
        <v>14189</v>
      </c>
      <c r="O491" s="25" t="b">
        <f t="shared" si="5"/>
        <v>1</v>
      </c>
      <c r="P491" s="26" t="b">
        <f t="shared" si="6"/>
        <v>1</v>
      </c>
      <c r="Q491" s="27" t="b">
        <f t="shared" si="8"/>
        <v>0</v>
      </c>
    </row>
    <row r="492">
      <c r="F492" s="8">
        <v>489.0</v>
      </c>
      <c r="G492" s="11">
        <f t="shared" si="1"/>
        <v>1871875</v>
      </c>
      <c r="H492" s="9">
        <f>INT(IF(AND('Lån Översikt'!$D$7="JA", 'Lån Översikt'!$D$11="JA", 'Lån Översikt'!$D$8="JA"), (G492*(('Lån Översikt'!$C$7/100*'Lån Översikt'!$C$11/100)-'Lån Översikt'!$C$8/100))/12, IF(AND('Lån Översikt'!$D$7="JA", 'Lån Översikt'!$D$11="JA", 'Lån Översikt'!$D$8="NEJ"), (G492*(('Lån Översikt'!$C$7/100*'Lån Översikt'!$C$11/100))/12), 0)))
</f>
        <v>4784</v>
      </c>
      <c r="I492" s="8">
        <f t="shared" si="2"/>
        <v>4712</v>
      </c>
      <c r="J492" s="8">
        <f>IF(AND(P492, O492), 0, IF(O492, INT((('Lån Översikt'!$C$5 * 1 / 100) / 12)), INT((('Lån Översikt'!$C$5 * 'Lån Översikt'!$C$15 / 100) / 12))))
</f>
        <v>0</v>
      </c>
      <c r="K492" s="8">
        <f t="shared" si="3"/>
        <v>4166</v>
      </c>
      <c r="L492" s="8">
        <f t="shared" si="4"/>
        <v>13662</v>
      </c>
      <c r="M492" s="8">
        <f>(L492 + 'Lån Översikt'!$D$50)</f>
        <v>35611</v>
      </c>
      <c r="N492" s="8">
        <f>IF('Lån Översikt'!$D$22 = "JA", 
    IF(Q492 = TRUE, 'Lån Översikt'!$D$24 - M492, 'Lån Översikt'!$D$24 - M492 + 18300), 
    'Lån Översikt'!$D$24 - M492)
</f>
        <v>14189</v>
      </c>
      <c r="O492" s="25" t="b">
        <f t="shared" si="5"/>
        <v>1</v>
      </c>
      <c r="P492" s="26" t="b">
        <f t="shared" si="6"/>
        <v>1</v>
      </c>
      <c r="Q492" s="27" t="b">
        <f t="shared" si="8"/>
        <v>0</v>
      </c>
    </row>
    <row r="493">
      <c r="F493" s="8">
        <v>490.0</v>
      </c>
      <c r="G493" s="11">
        <f t="shared" si="1"/>
        <v>1871875</v>
      </c>
      <c r="H493" s="9">
        <f>INT(IF(AND('Lån Översikt'!$D$7="JA", 'Lån Översikt'!$D$11="JA", 'Lån Översikt'!$D$8="JA"), (G493*(('Lån Översikt'!$C$7/100*'Lån Översikt'!$C$11/100)-'Lån Översikt'!$C$8/100))/12, IF(AND('Lån Översikt'!$D$7="JA", 'Lån Översikt'!$D$11="JA", 'Lån Översikt'!$D$8="NEJ"), (G493*(('Lån Översikt'!$C$7/100*'Lån Översikt'!$C$11/100))/12), 0)))
</f>
        <v>4784</v>
      </c>
      <c r="I493" s="8">
        <f t="shared" si="2"/>
        <v>4712</v>
      </c>
      <c r="J493" s="8">
        <f>IF(AND(P493, O493), 0, IF(O493, INT((('Lån Översikt'!$C$5 * 1 / 100) / 12)), INT((('Lån Översikt'!$C$5 * 'Lån Översikt'!$C$15 / 100) / 12))))
</f>
        <v>0</v>
      </c>
      <c r="K493" s="8">
        <f t="shared" si="3"/>
        <v>4166</v>
      </c>
      <c r="L493" s="8">
        <f t="shared" si="4"/>
        <v>13662</v>
      </c>
      <c r="M493" s="8">
        <f>(L493 + 'Lån Översikt'!$D$50)</f>
        <v>35611</v>
      </c>
      <c r="N493" s="8">
        <f>IF('Lån Översikt'!$D$22 = "JA", 
    IF(Q493 = TRUE, 'Lån Översikt'!$D$24 - M493, 'Lån Översikt'!$D$24 - M493 + 18300), 
    'Lån Översikt'!$D$24 - M493)
</f>
        <v>14189</v>
      </c>
      <c r="O493" s="25" t="b">
        <f t="shared" si="5"/>
        <v>1</v>
      </c>
      <c r="P493" s="26" t="b">
        <f t="shared" si="6"/>
        <v>1</v>
      </c>
      <c r="Q493" s="27" t="b">
        <f t="shared" si="8"/>
        <v>0</v>
      </c>
    </row>
    <row r="494">
      <c r="F494" s="8">
        <v>491.0</v>
      </c>
      <c r="G494" s="11">
        <f t="shared" si="1"/>
        <v>1871875</v>
      </c>
      <c r="H494" s="9">
        <f>INT(IF(AND('Lån Översikt'!$D$7="JA", 'Lån Översikt'!$D$11="JA", 'Lån Översikt'!$D$8="JA"), (G494*(('Lån Översikt'!$C$7/100*'Lån Översikt'!$C$11/100)-'Lån Översikt'!$C$8/100))/12, IF(AND('Lån Översikt'!$D$7="JA", 'Lån Översikt'!$D$11="JA", 'Lån Översikt'!$D$8="NEJ"), (G494*(('Lån Översikt'!$C$7/100*'Lån Översikt'!$C$11/100))/12), 0)))
</f>
        <v>4784</v>
      </c>
      <c r="I494" s="8">
        <f t="shared" si="2"/>
        <v>4712</v>
      </c>
      <c r="J494" s="8">
        <f>IF(AND(P494, O494), 0, IF(O494, INT((('Lån Översikt'!$C$5 * 1 / 100) / 12)), INT((('Lån Översikt'!$C$5 * 'Lån Översikt'!$C$15 / 100) / 12))))
</f>
        <v>0</v>
      </c>
      <c r="K494" s="8">
        <f t="shared" si="3"/>
        <v>4166</v>
      </c>
      <c r="L494" s="8">
        <f t="shared" si="4"/>
        <v>13662</v>
      </c>
      <c r="M494" s="8">
        <f>(L494 + 'Lån Översikt'!$D$50)</f>
        <v>35611</v>
      </c>
      <c r="N494" s="8">
        <f>IF('Lån Översikt'!$D$22 = "JA", 
    IF(Q494 = TRUE, 'Lån Översikt'!$D$24 - M494, 'Lån Översikt'!$D$24 - M494 + 18300), 
    'Lån Översikt'!$D$24 - M494)
</f>
        <v>14189</v>
      </c>
      <c r="O494" s="25" t="b">
        <f t="shared" si="5"/>
        <v>1</v>
      </c>
      <c r="P494" s="26" t="b">
        <f t="shared" si="6"/>
        <v>1</v>
      </c>
      <c r="Q494" s="27" t="b">
        <f t="shared" si="8"/>
        <v>0</v>
      </c>
    </row>
    <row r="495">
      <c r="F495" s="8">
        <v>492.0</v>
      </c>
      <c r="G495" s="11">
        <f t="shared" si="1"/>
        <v>1871875</v>
      </c>
      <c r="H495" s="9">
        <f>INT(IF(AND('Lån Översikt'!$D$7="JA", 'Lån Översikt'!$D$11="JA", 'Lån Översikt'!$D$8="JA"), (G495*(('Lån Översikt'!$C$7/100*'Lån Översikt'!$C$11/100)-'Lån Översikt'!$C$8/100))/12, IF(AND('Lån Översikt'!$D$7="JA", 'Lån Översikt'!$D$11="JA", 'Lån Översikt'!$D$8="NEJ"), (G495*(('Lån Översikt'!$C$7/100*'Lån Översikt'!$C$11/100))/12), 0)))
</f>
        <v>4784</v>
      </c>
      <c r="I495" s="8">
        <f t="shared" si="2"/>
        <v>4712</v>
      </c>
      <c r="J495" s="8">
        <f>IF(AND(P495, O495), 0, IF(O495, INT((('Lån Översikt'!$C$5 * 1 / 100) / 12)), INT((('Lån Översikt'!$C$5 * 'Lån Översikt'!$C$15 / 100) / 12))))
</f>
        <v>0</v>
      </c>
      <c r="K495" s="8">
        <f t="shared" si="3"/>
        <v>4166</v>
      </c>
      <c r="L495" s="8">
        <f t="shared" si="4"/>
        <v>13662</v>
      </c>
      <c r="M495" s="8">
        <f>(L495 + 'Lån Översikt'!$D$50)</f>
        <v>35611</v>
      </c>
      <c r="N495" s="8">
        <f>IF('Lån Översikt'!$D$22 = "JA", 
    IF(Q495 = TRUE, 'Lån Översikt'!$D$24 - M495, 'Lån Översikt'!$D$24 - M495 + 18300), 
    'Lån Översikt'!$D$24 - M495)
</f>
        <v>14189</v>
      </c>
      <c r="O495" s="25" t="b">
        <f t="shared" si="5"/>
        <v>1</v>
      </c>
      <c r="P495" s="26" t="b">
        <f t="shared" si="6"/>
        <v>1</v>
      </c>
      <c r="Q495" s="27" t="b">
        <f t="shared" si="8"/>
        <v>0</v>
      </c>
    </row>
    <row r="496">
      <c r="F496" s="8">
        <v>493.0</v>
      </c>
      <c r="G496" s="11">
        <f t="shared" si="1"/>
        <v>1871875</v>
      </c>
      <c r="H496" s="9">
        <f>INT(IF(AND('Lån Översikt'!$D$7="JA", 'Lån Översikt'!$D$11="JA", 'Lån Översikt'!$D$8="JA"), (G496*(('Lån Översikt'!$C$7/100*'Lån Översikt'!$C$11/100)-'Lån Översikt'!$C$8/100))/12, IF(AND('Lån Översikt'!$D$7="JA", 'Lån Översikt'!$D$11="JA", 'Lån Översikt'!$D$8="NEJ"), (G496*(('Lån Översikt'!$C$7/100*'Lån Översikt'!$C$11/100))/12), 0)))
</f>
        <v>4784</v>
      </c>
      <c r="I496" s="8">
        <f t="shared" si="2"/>
        <v>4712</v>
      </c>
      <c r="J496" s="8">
        <f>IF(AND(P496, O496), 0, IF(O496, INT((('Lån Översikt'!$C$5 * 1 / 100) / 12)), INT((('Lån Översikt'!$C$5 * 'Lån Översikt'!$C$15 / 100) / 12))))
</f>
        <v>0</v>
      </c>
      <c r="K496" s="8">
        <f t="shared" si="3"/>
        <v>4166</v>
      </c>
      <c r="L496" s="8">
        <f t="shared" si="4"/>
        <v>13662</v>
      </c>
      <c r="M496" s="8">
        <f>(L496 + 'Lån Översikt'!$D$50)</f>
        <v>35611</v>
      </c>
      <c r="N496" s="8">
        <f>IF('Lån Översikt'!$D$22 = "JA", 
    IF(Q496 = TRUE, 'Lån Översikt'!$D$24 - M496, 'Lån Översikt'!$D$24 - M496 + 18300), 
    'Lån Översikt'!$D$24 - M496)
</f>
        <v>14189</v>
      </c>
      <c r="O496" s="25" t="b">
        <f t="shared" si="5"/>
        <v>1</v>
      </c>
      <c r="P496" s="26" t="b">
        <f t="shared" si="6"/>
        <v>1</v>
      </c>
      <c r="Q496" s="27" t="b">
        <f t="shared" si="8"/>
        <v>0</v>
      </c>
    </row>
    <row r="497">
      <c r="F497" s="8">
        <v>494.0</v>
      </c>
      <c r="G497" s="11">
        <f t="shared" si="1"/>
        <v>1871875</v>
      </c>
      <c r="H497" s="9">
        <f>INT(IF(AND('Lån Översikt'!$D$7="JA", 'Lån Översikt'!$D$11="JA", 'Lån Översikt'!$D$8="JA"), (G497*(('Lån Översikt'!$C$7/100*'Lån Översikt'!$C$11/100)-'Lån Översikt'!$C$8/100))/12, IF(AND('Lån Översikt'!$D$7="JA", 'Lån Översikt'!$D$11="JA", 'Lån Översikt'!$D$8="NEJ"), (G497*(('Lån Översikt'!$C$7/100*'Lån Översikt'!$C$11/100))/12), 0)))
</f>
        <v>4784</v>
      </c>
      <c r="I497" s="8">
        <f t="shared" si="2"/>
        <v>4712</v>
      </c>
      <c r="J497" s="8">
        <f>IF(AND(P497, O497), 0, IF(O497, INT((('Lån Översikt'!$C$5 * 1 / 100) / 12)), INT((('Lån Översikt'!$C$5 * 'Lån Översikt'!$C$15 / 100) / 12))))
</f>
        <v>0</v>
      </c>
      <c r="K497" s="8">
        <f t="shared" si="3"/>
        <v>4166</v>
      </c>
      <c r="L497" s="8">
        <f t="shared" si="4"/>
        <v>13662</v>
      </c>
      <c r="M497" s="8">
        <f>(L497 + 'Lån Översikt'!$D$50)</f>
        <v>35611</v>
      </c>
      <c r="N497" s="8">
        <f>IF('Lån Översikt'!$D$22 = "JA", 
    IF(Q497 = TRUE, 'Lån Översikt'!$D$24 - M497, 'Lån Översikt'!$D$24 - M497 + 18300), 
    'Lån Översikt'!$D$24 - M497)
</f>
        <v>14189</v>
      </c>
      <c r="O497" s="25" t="b">
        <f t="shared" si="5"/>
        <v>1</v>
      </c>
      <c r="P497" s="26" t="b">
        <f t="shared" si="6"/>
        <v>1</v>
      </c>
      <c r="Q497" s="27" t="b">
        <f t="shared" si="8"/>
        <v>0</v>
      </c>
    </row>
    <row r="498">
      <c r="F498" s="8">
        <v>495.0</v>
      </c>
      <c r="G498" s="11">
        <f t="shared" si="1"/>
        <v>1871875</v>
      </c>
      <c r="H498" s="9">
        <f>INT(IF(AND('Lån Översikt'!$D$7="JA", 'Lån Översikt'!$D$11="JA", 'Lån Översikt'!$D$8="JA"), (G498*(('Lån Översikt'!$C$7/100*'Lån Översikt'!$C$11/100)-'Lån Översikt'!$C$8/100))/12, IF(AND('Lån Översikt'!$D$7="JA", 'Lån Översikt'!$D$11="JA", 'Lån Översikt'!$D$8="NEJ"), (G498*(('Lån Översikt'!$C$7/100*'Lån Översikt'!$C$11/100))/12), 0)))
</f>
        <v>4784</v>
      </c>
      <c r="I498" s="8">
        <f t="shared" si="2"/>
        <v>4712</v>
      </c>
      <c r="J498" s="8">
        <f>IF(AND(P498, O498), 0, IF(O498, INT((('Lån Översikt'!$C$5 * 1 / 100) / 12)), INT((('Lån Översikt'!$C$5 * 'Lån Översikt'!$C$15 / 100) / 12))))
</f>
        <v>0</v>
      </c>
      <c r="K498" s="8">
        <f t="shared" si="3"/>
        <v>4166</v>
      </c>
      <c r="L498" s="8">
        <f t="shared" si="4"/>
        <v>13662</v>
      </c>
      <c r="M498" s="8">
        <f>(L498 + 'Lån Översikt'!$D$50)</f>
        <v>35611</v>
      </c>
      <c r="N498" s="8">
        <f>IF('Lån Översikt'!$D$22 = "JA", 
    IF(Q498 = TRUE, 'Lån Översikt'!$D$24 - M498, 'Lån Översikt'!$D$24 - M498 + 18300), 
    'Lån Översikt'!$D$24 - M498)
</f>
        <v>14189</v>
      </c>
      <c r="O498" s="25" t="b">
        <f t="shared" si="5"/>
        <v>1</v>
      </c>
      <c r="P498" s="26" t="b">
        <f t="shared" si="6"/>
        <v>1</v>
      </c>
      <c r="Q498" s="27" t="b">
        <f t="shared" si="8"/>
        <v>0</v>
      </c>
    </row>
    <row r="499">
      <c r="F499" s="8">
        <v>496.0</v>
      </c>
      <c r="G499" s="11">
        <f t="shared" si="1"/>
        <v>1871875</v>
      </c>
      <c r="H499" s="9">
        <f>INT(IF(AND('Lån Översikt'!$D$7="JA", 'Lån Översikt'!$D$11="JA", 'Lån Översikt'!$D$8="JA"), (G499*(('Lån Översikt'!$C$7/100*'Lån Översikt'!$C$11/100)-'Lån Översikt'!$C$8/100))/12, IF(AND('Lån Översikt'!$D$7="JA", 'Lån Översikt'!$D$11="JA", 'Lån Översikt'!$D$8="NEJ"), (G499*(('Lån Översikt'!$C$7/100*'Lån Översikt'!$C$11/100))/12), 0)))
</f>
        <v>4784</v>
      </c>
      <c r="I499" s="8">
        <f t="shared" si="2"/>
        <v>4712</v>
      </c>
      <c r="J499" s="8">
        <f>IF(AND(P499, O499), 0, IF(O499, INT((('Lån Översikt'!$C$5 * 1 / 100) / 12)), INT((('Lån Översikt'!$C$5 * 'Lån Översikt'!$C$15 / 100) / 12))))
</f>
        <v>0</v>
      </c>
      <c r="K499" s="8">
        <f t="shared" si="3"/>
        <v>4166</v>
      </c>
      <c r="L499" s="8">
        <f t="shared" si="4"/>
        <v>13662</v>
      </c>
      <c r="M499" s="8">
        <f>(L499 + 'Lån Översikt'!$D$50)</f>
        <v>35611</v>
      </c>
      <c r="N499" s="8">
        <f>IF('Lån Översikt'!$D$22 = "JA", 
    IF(Q499 = TRUE, 'Lån Översikt'!$D$24 - M499, 'Lån Översikt'!$D$24 - M499 + 18300), 
    'Lån Översikt'!$D$24 - M499)
</f>
        <v>14189</v>
      </c>
      <c r="O499" s="25" t="b">
        <f t="shared" si="5"/>
        <v>1</v>
      </c>
      <c r="P499" s="26" t="b">
        <f t="shared" si="6"/>
        <v>1</v>
      </c>
      <c r="Q499" s="27" t="b">
        <f t="shared" si="8"/>
        <v>0</v>
      </c>
    </row>
    <row r="500">
      <c r="F500" s="8">
        <v>497.0</v>
      </c>
      <c r="G500" s="11">
        <f t="shared" si="1"/>
        <v>1871875</v>
      </c>
      <c r="H500" s="9">
        <f>INT(IF(AND('Lån Översikt'!$D$7="JA", 'Lån Översikt'!$D$11="JA", 'Lån Översikt'!$D$8="JA"), (G500*(('Lån Översikt'!$C$7/100*'Lån Översikt'!$C$11/100)-'Lån Översikt'!$C$8/100))/12, IF(AND('Lån Översikt'!$D$7="JA", 'Lån Översikt'!$D$11="JA", 'Lån Översikt'!$D$8="NEJ"), (G500*(('Lån Översikt'!$C$7/100*'Lån Översikt'!$C$11/100))/12), 0)))
</f>
        <v>4784</v>
      </c>
      <c r="I500" s="8">
        <f t="shared" si="2"/>
        <v>4712</v>
      </c>
      <c r="J500" s="8">
        <f>IF(AND(P500, O500), 0, IF(O500, INT((('Lån Översikt'!$C$5 * 1 / 100) / 12)), INT((('Lån Översikt'!$C$5 * 'Lån Översikt'!$C$15 / 100) / 12))))
</f>
        <v>0</v>
      </c>
      <c r="K500" s="8">
        <f t="shared" si="3"/>
        <v>4166</v>
      </c>
      <c r="L500" s="8">
        <f t="shared" si="4"/>
        <v>13662</v>
      </c>
      <c r="M500" s="8">
        <f>(L500 + 'Lån Översikt'!$D$50)</f>
        <v>35611</v>
      </c>
      <c r="N500" s="8">
        <f>IF('Lån Översikt'!$D$22 = "JA", 
    IF(Q500 = TRUE, 'Lån Översikt'!$D$24 - M500, 'Lån Översikt'!$D$24 - M500 + 18300), 
    'Lån Översikt'!$D$24 - M500)
</f>
        <v>14189</v>
      </c>
      <c r="O500" s="25" t="b">
        <f t="shared" si="5"/>
        <v>1</v>
      </c>
      <c r="P500" s="26" t="b">
        <f t="shared" si="6"/>
        <v>1</v>
      </c>
      <c r="Q500" s="27" t="b">
        <f t="shared" si="8"/>
        <v>0</v>
      </c>
    </row>
    <row r="501">
      <c r="F501" s="8">
        <v>498.0</v>
      </c>
      <c r="G501" s="11">
        <f t="shared" si="1"/>
        <v>1871875</v>
      </c>
      <c r="H501" s="9">
        <f>INT(IF(AND('Lån Översikt'!$D$7="JA", 'Lån Översikt'!$D$11="JA", 'Lån Översikt'!$D$8="JA"), (G501*(('Lån Översikt'!$C$7/100*'Lån Översikt'!$C$11/100)-'Lån Översikt'!$C$8/100))/12, IF(AND('Lån Översikt'!$D$7="JA", 'Lån Översikt'!$D$11="JA", 'Lån Översikt'!$D$8="NEJ"), (G501*(('Lån Översikt'!$C$7/100*'Lån Översikt'!$C$11/100))/12), 0)))
</f>
        <v>4784</v>
      </c>
      <c r="I501" s="8">
        <f t="shared" si="2"/>
        <v>4712</v>
      </c>
      <c r="J501" s="8">
        <f>IF(AND(P501, O501), 0, IF(O501, INT((('Lån Översikt'!$C$5 * 1 / 100) / 12)), INT((('Lån Översikt'!$C$5 * 'Lån Översikt'!$C$15 / 100) / 12))))
</f>
        <v>0</v>
      </c>
      <c r="K501" s="8">
        <f t="shared" si="3"/>
        <v>4166</v>
      </c>
      <c r="L501" s="8">
        <f t="shared" si="4"/>
        <v>13662</v>
      </c>
      <c r="M501" s="8">
        <f>(L501 + 'Lån Översikt'!$D$50)</f>
        <v>35611</v>
      </c>
      <c r="N501" s="8">
        <f>IF('Lån Översikt'!$D$22 = "JA", 
    IF(Q501 = TRUE, 'Lån Översikt'!$D$24 - M501, 'Lån Översikt'!$D$24 - M501 + 18300), 
    'Lån Översikt'!$D$24 - M501)
</f>
        <v>14189</v>
      </c>
      <c r="O501" s="25" t="b">
        <f t="shared" si="5"/>
        <v>1</v>
      </c>
      <c r="P501" s="26" t="b">
        <f t="shared" si="6"/>
        <v>1</v>
      </c>
      <c r="Q501" s="27" t="b">
        <f t="shared" si="8"/>
        <v>0</v>
      </c>
    </row>
    <row r="502">
      <c r="F502" s="8">
        <v>499.0</v>
      </c>
      <c r="G502" s="11">
        <f t="shared" si="1"/>
        <v>1871875</v>
      </c>
      <c r="H502" s="9">
        <f>INT(IF(AND('Lån Översikt'!$D$7="JA", 'Lån Översikt'!$D$11="JA", 'Lån Översikt'!$D$8="JA"), (G502*(('Lån Översikt'!$C$7/100*'Lån Översikt'!$C$11/100)-'Lån Översikt'!$C$8/100))/12, IF(AND('Lån Översikt'!$D$7="JA", 'Lån Översikt'!$D$11="JA", 'Lån Översikt'!$D$8="NEJ"), (G502*(('Lån Översikt'!$C$7/100*'Lån Översikt'!$C$11/100))/12), 0)))
</f>
        <v>4784</v>
      </c>
      <c r="I502" s="8">
        <f t="shared" si="2"/>
        <v>4712</v>
      </c>
      <c r="J502" s="8">
        <f>IF(AND(P502, O502), 0, IF(O502, INT((('Lån Översikt'!$C$5 * 1 / 100) / 12)), INT((('Lån Översikt'!$C$5 * 'Lån Översikt'!$C$15 / 100) / 12))))
</f>
        <v>0</v>
      </c>
      <c r="K502" s="8">
        <f t="shared" si="3"/>
        <v>4166</v>
      </c>
      <c r="L502" s="8">
        <f t="shared" si="4"/>
        <v>13662</v>
      </c>
      <c r="M502" s="8">
        <f>(L502 + 'Lån Översikt'!$D$50)</f>
        <v>35611</v>
      </c>
      <c r="N502" s="8">
        <f>IF('Lån Översikt'!$D$22 = "JA", 
    IF(Q502 = TRUE, 'Lån Översikt'!$D$24 - M502, 'Lån Översikt'!$D$24 - M502 + 18300), 
    'Lån Översikt'!$D$24 - M502)
</f>
        <v>14189</v>
      </c>
      <c r="O502" s="25" t="b">
        <f t="shared" si="5"/>
        <v>1</v>
      </c>
      <c r="P502" s="26" t="b">
        <f t="shared" si="6"/>
        <v>1</v>
      </c>
      <c r="Q502" s="27" t="b">
        <f t="shared" si="8"/>
        <v>0</v>
      </c>
    </row>
    <row r="503">
      <c r="F503" s="8">
        <v>500.0</v>
      </c>
      <c r="G503" s="11">
        <f t="shared" si="1"/>
        <v>1871875</v>
      </c>
      <c r="H503" s="9">
        <f>INT(IF(AND('Lån Översikt'!$D$7="JA", 'Lån Översikt'!$D$11="JA", 'Lån Översikt'!$D$8="JA"), (G503*(('Lån Översikt'!$C$7/100*'Lån Översikt'!$C$11/100)-'Lån Översikt'!$C$8/100))/12, IF(AND('Lån Översikt'!$D$7="JA", 'Lån Översikt'!$D$11="JA", 'Lån Översikt'!$D$8="NEJ"), (G503*(('Lån Översikt'!$C$7/100*'Lån Översikt'!$C$11/100))/12), 0)))
</f>
        <v>4784</v>
      </c>
      <c r="I503" s="8">
        <f t="shared" si="2"/>
        <v>4712</v>
      </c>
      <c r="J503" s="8">
        <f>IF(AND(P503, O503), 0, IF(O503, INT((('Lån Översikt'!$C$5 * 1 / 100) / 12)), INT((('Lån Översikt'!$C$5 * 'Lån Översikt'!$C$15 / 100) / 12))))
</f>
        <v>0</v>
      </c>
      <c r="K503" s="8">
        <f t="shared" si="3"/>
        <v>4166</v>
      </c>
      <c r="L503" s="8">
        <f t="shared" si="4"/>
        <v>13662</v>
      </c>
      <c r="M503" s="8">
        <f>(L503 + 'Lån Översikt'!$D$50)</f>
        <v>35611</v>
      </c>
      <c r="N503" s="8">
        <f>IF('Lån Översikt'!$D$22 = "JA", 
    IF(Q503 = TRUE, 'Lån Översikt'!$D$24 - M503, 'Lån Översikt'!$D$24 - M503 + 18300), 
    'Lån Översikt'!$D$24 - M503)
</f>
        <v>14189</v>
      </c>
      <c r="O503" s="25" t="b">
        <f t="shared" si="5"/>
        <v>1</v>
      </c>
      <c r="P503" s="26" t="b">
        <f t="shared" si="6"/>
        <v>1</v>
      </c>
      <c r="Q503" s="27" t="b">
        <f t="shared" si="8"/>
        <v>0</v>
      </c>
    </row>
    <row r="504">
      <c r="F504" s="8">
        <v>501.0</v>
      </c>
      <c r="G504" s="11">
        <f t="shared" si="1"/>
        <v>1871875</v>
      </c>
      <c r="H504" s="9">
        <f>INT(IF(AND('Lån Översikt'!$D$7="JA", 'Lån Översikt'!$D$11="JA", 'Lån Översikt'!$D$8="JA"), (G504*(('Lån Översikt'!$C$7/100*'Lån Översikt'!$C$11/100)-'Lån Översikt'!$C$8/100))/12, IF(AND('Lån Översikt'!$D$7="JA", 'Lån Översikt'!$D$11="JA", 'Lån Översikt'!$D$8="NEJ"), (G504*(('Lån Översikt'!$C$7/100*'Lån Översikt'!$C$11/100))/12), 0)))
</f>
        <v>4784</v>
      </c>
      <c r="I504" s="8">
        <f t="shared" si="2"/>
        <v>4712</v>
      </c>
      <c r="J504" s="8">
        <f>IF(AND(P504, O504), 0, IF(O504, INT((('Lån Översikt'!$C$5 * 1 / 100) / 12)), INT((('Lån Översikt'!$C$5 * 'Lån Översikt'!$C$15 / 100) / 12))))
</f>
        <v>0</v>
      </c>
      <c r="K504" s="8">
        <f t="shared" si="3"/>
        <v>4166</v>
      </c>
      <c r="L504" s="8">
        <f t="shared" si="4"/>
        <v>13662</v>
      </c>
      <c r="M504" s="8">
        <f>(L504 + 'Lån Översikt'!$D$50)</f>
        <v>35611</v>
      </c>
      <c r="N504" s="8">
        <f>IF('Lån Översikt'!$D$22 = "JA", 
    IF(Q504 = TRUE, 'Lån Översikt'!$D$24 - M504, 'Lån Översikt'!$D$24 - M504 + 18300), 
    'Lån Översikt'!$D$24 - M504)
</f>
        <v>14189</v>
      </c>
      <c r="O504" s="25" t="b">
        <f t="shared" si="5"/>
        <v>1</v>
      </c>
      <c r="P504" s="26" t="b">
        <f t="shared" si="6"/>
        <v>1</v>
      </c>
      <c r="Q504" s="27" t="b">
        <f t="shared" si="8"/>
        <v>0</v>
      </c>
    </row>
    <row r="505">
      <c r="F505" s="8">
        <v>502.0</v>
      </c>
      <c r="G505" s="11">
        <f t="shared" si="1"/>
        <v>1871875</v>
      </c>
      <c r="H505" s="9">
        <f>INT(IF(AND('Lån Översikt'!$D$7="JA", 'Lån Översikt'!$D$11="JA", 'Lån Översikt'!$D$8="JA"), (G505*(('Lån Översikt'!$C$7/100*'Lån Översikt'!$C$11/100)-'Lån Översikt'!$C$8/100))/12, IF(AND('Lån Översikt'!$D$7="JA", 'Lån Översikt'!$D$11="JA", 'Lån Översikt'!$D$8="NEJ"), (G505*(('Lån Översikt'!$C$7/100*'Lån Översikt'!$C$11/100))/12), 0)))
</f>
        <v>4784</v>
      </c>
      <c r="I505" s="8">
        <f t="shared" si="2"/>
        <v>4712</v>
      </c>
      <c r="J505" s="8">
        <f>IF(AND(P505, O505), 0, IF(O505, INT((('Lån Översikt'!$C$5 * 1 / 100) / 12)), INT((('Lån Översikt'!$C$5 * 'Lån Översikt'!$C$15 / 100) / 12))))
</f>
        <v>0</v>
      </c>
      <c r="K505" s="8">
        <f t="shared" si="3"/>
        <v>4166</v>
      </c>
      <c r="L505" s="8">
        <f t="shared" si="4"/>
        <v>13662</v>
      </c>
      <c r="M505" s="8">
        <f>(L505 + 'Lån Översikt'!$D$50)</f>
        <v>35611</v>
      </c>
      <c r="N505" s="8">
        <f>IF('Lån Översikt'!$D$22 = "JA", 
    IF(Q505 = TRUE, 'Lån Översikt'!$D$24 - M505, 'Lån Översikt'!$D$24 - M505 + 18300), 
    'Lån Översikt'!$D$24 - M505)
</f>
        <v>14189</v>
      </c>
      <c r="O505" s="25" t="b">
        <f t="shared" si="5"/>
        <v>1</v>
      </c>
      <c r="P505" s="26" t="b">
        <f t="shared" si="6"/>
        <v>1</v>
      </c>
      <c r="Q505" s="27" t="b">
        <f t="shared" si="8"/>
        <v>0</v>
      </c>
    </row>
    <row r="506">
      <c r="F506" s="8">
        <v>503.0</v>
      </c>
      <c r="G506" s="11">
        <f t="shared" si="1"/>
        <v>1871875</v>
      </c>
      <c r="H506" s="9">
        <f>INT(IF(AND('Lån Översikt'!$D$7="JA", 'Lån Översikt'!$D$11="JA", 'Lån Översikt'!$D$8="JA"), (G506*(('Lån Översikt'!$C$7/100*'Lån Översikt'!$C$11/100)-'Lån Översikt'!$C$8/100))/12, IF(AND('Lån Översikt'!$D$7="JA", 'Lån Översikt'!$D$11="JA", 'Lån Översikt'!$D$8="NEJ"), (G506*(('Lån Översikt'!$C$7/100*'Lån Översikt'!$C$11/100))/12), 0)))
</f>
        <v>4784</v>
      </c>
      <c r="I506" s="8">
        <f t="shared" si="2"/>
        <v>4712</v>
      </c>
      <c r="J506" s="8">
        <f>IF(AND(P506, O506), 0, IF(O506, INT((('Lån Översikt'!$C$5 * 1 / 100) / 12)), INT((('Lån Översikt'!$C$5 * 'Lån Översikt'!$C$15 / 100) / 12))))
</f>
        <v>0</v>
      </c>
      <c r="K506" s="8">
        <f t="shared" si="3"/>
        <v>4166</v>
      </c>
      <c r="L506" s="8">
        <f t="shared" si="4"/>
        <v>13662</v>
      </c>
      <c r="M506" s="8">
        <f>(L506 + 'Lån Översikt'!$D$50)</f>
        <v>35611</v>
      </c>
      <c r="N506" s="8">
        <f>IF('Lån Översikt'!$D$22 = "JA", 
    IF(Q506 = TRUE, 'Lån Översikt'!$D$24 - M506, 'Lån Översikt'!$D$24 - M506 + 18300), 
    'Lån Översikt'!$D$24 - M506)
</f>
        <v>14189</v>
      </c>
      <c r="O506" s="25" t="b">
        <f t="shared" si="5"/>
        <v>1</v>
      </c>
      <c r="P506" s="26" t="b">
        <f t="shared" si="6"/>
        <v>1</v>
      </c>
      <c r="Q506" s="27" t="b">
        <f t="shared" si="8"/>
        <v>0</v>
      </c>
    </row>
    <row r="507">
      <c r="F507" s="8">
        <v>504.0</v>
      </c>
      <c r="G507" s="11">
        <f t="shared" si="1"/>
        <v>1871875</v>
      </c>
      <c r="H507" s="9">
        <f>INT(IF(AND('Lån Översikt'!$D$7="JA", 'Lån Översikt'!$D$11="JA", 'Lån Översikt'!$D$8="JA"), (G507*(('Lån Översikt'!$C$7/100*'Lån Översikt'!$C$11/100)-'Lån Översikt'!$C$8/100))/12, IF(AND('Lån Översikt'!$D$7="JA", 'Lån Översikt'!$D$11="JA", 'Lån Översikt'!$D$8="NEJ"), (G507*(('Lån Översikt'!$C$7/100*'Lån Översikt'!$C$11/100))/12), 0)))
</f>
        <v>4784</v>
      </c>
      <c r="I507" s="8">
        <f t="shared" si="2"/>
        <v>4712</v>
      </c>
      <c r="J507" s="8">
        <f>IF(AND(P507, O507), 0, IF(O507, INT((('Lån Översikt'!$C$5 * 1 / 100) / 12)), INT((('Lån Översikt'!$C$5 * 'Lån Översikt'!$C$15 / 100) / 12))))
</f>
        <v>0</v>
      </c>
      <c r="K507" s="8">
        <f t="shared" si="3"/>
        <v>4166</v>
      </c>
      <c r="L507" s="8">
        <f t="shared" si="4"/>
        <v>13662</v>
      </c>
      <c r="M507" s="8">
        <f>(L507 + 'Lån Översikt'!$D$50)</f>
        <v>35611</v>
      </c>
      <c r="N507" s="8">
        <f>IF('Lån Översikt'!$D$22 = "JA", 
    IF(Q507 = TRUE, 'Lån Översikt'!$D$24 - M507, 'Lån Översikt'!$D$24 - M507 + 18300), 
    'Lån Översikt'!$D$24 - M507)
</f>
        <v>14189</v>
      </c>
      <c r="O507" s="25" t="b">
        <f t="shared" si="5"/>
        <v>1</v>
      </c>
      <c r="P507" s="26" t="b">
        <f t="shared" si="6"/>
        <v>1</v>
      </c>
      <c r="Q507" s="27" t="b">
        <f t="shared" si="8"/>
        <v>0</v>
      </c>
    </row>
    <row r="508">
      <c r="F508" s="8">
        <v>505.0</v>
      </c>
      <c r="G508" s="11">
        <f t="shared" si="1"/>
        <v>1871875</v>
      </c>
      <c r="H508" s="9">
        <f>INT(IF(AND('Lån Översikt'!$D$7="JA", 'Lån Översikt'!$D$11="JA", 'Lån Översikt'!$D$8="JA"), (G508*(('Lån Översikt'!$C$7/100*'Lån Översikt'!$C$11/100)-'Lån Översikt'!$C$8/100))/12, IF(AND('Lån Översikt'!$D$7="JA", 'Lån Översikt'!$D$11="JA", 'Lån Översikt'!$D$8="NEJ"), (G508*(('Lån Översikt'!$C$7/100*'Lån Översikt'!$C$11/100))/12), 0)))
</f>
        <v>4784</v>
      </c>
      <c r="I508" s="8">
        <f t="shared" si="2"/>
        <v>4712</v>
      </c>
      <c r="J508" s="8">
        <f>IF(AND(P508, O508), 0, IF(O508, INT((('Lån Översikt'!$C$5 * 1 / 100) / 12)), INT((('Lån Översikt'!$C$5 * 'Lån Översikt'!$C$15 / 100) / 12))))
</f>
        <v>0</v>
      </c>
      <c r="K508" s="8">
        <f t="shared" si="3"/>
        <v>4166</v>
      </c>
      <c r="L508" s="8">
        <f t="shared" si="4"/>
        <v>13662</v>
      </c>
      <c r="M508" s="8">
        <f>(L508 + 'Lån Översikt'!$D$50)</f>
        <v>35611</v>
      </c>
      <c r="N508" s="8">
        <f>IF('Lån Översikt'!$D$22 = "JA", 
    IF(Q508 = TRUE, 'Lån Översikt'!$D$24 - M508, 'Lån Översikt'!$D$24 - M508 + 18300), 
    'Lån Översikt'!$D$24 - M508)
</f>
        <v>14189</v>
      </c>
      <c r="O508" s="25" t="b">
        <f t="shared" si="5"/>
        <v>1</v>
      </c>
      <c r="P508" s="26" t="b">
        <f t="shared" si="6"/>
        <v>1</v>
      </c>
      <c r="Q508" s="27" t="b">
        <f t="shared" si="8"/>
        <v>0</v>
      </c>
    </row>
    <row r="509">
      <c r="F509" s="8">
        <v>506.0</v>
      </c>
      <c r="G509" s="11">
        <f t="shared" si="1"/>
        <v>1871875</v>
      </c>
      <c r="H509" s="9">
        <f>INT(IF(AND('Lån Översikt'!$D$7="JA", 'Lån Översikt'!$D$11="JA", 'Lån Översikt'!$D$8="JA"), (G509*(('Lån Översikt'!$C$7/100*'Lån Översikt'!$C$11/100)-'Lån Översikt'!$C$8/100))/12, IF(AND('Lån Översikt'!$D$7="JA", 'Lån Översikt'!$D$11="JA", 'Lån Översikt'!$D$8="NEJ"), (G509*(('Lån Översikt'!$C$7/100*'Lån Översikt'!$C$11/100))/12), 0)))
</f>
        <v>4784</v>
      </c>
      <c r="I509" s="8">
        <f t="shared" si="2"/>
        <v>4712</v>
      </c>
      <c r="J509" s="8">
        <f>IF(AND(P509, O509), 0, IF(O509, INT((('Lån Översikt'!$C$5 * 1 / 100) / 12)), INT((('Lån Översikt'!$C$5 * 'Lån Översikt'!$C$15 / 100) / 12))))
</f>
        <v>0</v>
      </c>
      <c r="K509" s="8">
        <f t="shared" si="3"/>
        <v>4166</v>
      </c>
      <c r="L509" s="8">
        <f t="shared" si="4"/>
        <v>13662</v>
      </c>
      <c r="M509" s="8">
        <f>(L509 + 'Lån Översikt'!$D$50)</f>
        <v>35611</v>
      </c>
      <c r="N509" s="8">
        <f>IF('Lån Översikt'!$D$22 = "JA", 
    IF(Q509 = TRUE, 'Lån Översikt'!$D$24 - M509, 'Lån Översikt'!$D$24 - M509 + 18300), 
    'Lån Översikt'!$D$24 - M509)
</f>
        <v>14189</v>
      </c>
      <c r="O509" s="25" t="b">
        <f t="shared" si="5"/>
        <v>1</v>
      </c>
      <c r="P509" s="26" t="b">
        <f t="shared" si="6"/>
        <v>1</v>
      </c>
      <c r="Q509" s="27" t="b">
        <f t="shared" si="8"/>
        <v>0</v>
      </c>
    </row>
    <row r="510">
      <c r="F510" s="8">
        <v>507.0</v>
      </c>
      <c r="G510" s="11">
        <f t="shared" si="1"/>
        <v>1871875</v>
      </c>
      <c r="H510" s="9">
        <f>INT(IF(AND('Lån Översikt'!$D$7="JA", 'Lån Översikt'!$D$11="JA", 'Lån Översikt'!$D$8="JA"), (G510*(('Lån Översikt'!$C$7/100*'Lån Översikt'!$C$11/100)-'Lån Översikt'!$C$8/100))/12, IF(AND('Lån Översikt'!$D$7="JA", 'Lån Översikt'!$D$11="JA", 'Lån Översikt'!$D$8="NEJ"), (G510*(('Lån Översikt'!$C$7/100*'Lån Översikt'!$C$11/100))/12), 0)))
</f>
        <v>4784</v>
      </c>
      <c r="I510" s="8">
        <f t="shared" si="2"/>
        <v>4712</v>
      </c>
      <c r="J510" s="8">
        <f>IF(AND(P510, O510), 0, IF(O510, INT((('Lån Översikt'!$C$5 * 1 / 100) / 12)), INT((('Lån Översikt'!$C$5 * 'Lån Översikt'!$C$15 / 100) / 12))))
</f>
        <v>0</v>
      </c>
      <c r="K510" s="8">
        <f t="shared" si="3"/>
        <v>4166</v>
      </c>
      <c r="L510" s="8">
        <f t="shared" si="4"/>
        <v>13662</v>
      </c>
      <c r="M510" s="8">
        <f>(L510 + 'Lån Översikt'!$D$50)</f>
        <v>35611</v>
      </c>
      <c r="N510" s="8">
        <f>IF('Lån Översikt'!$D$22 = "JA", 
    IF(Q510 = TRUE, 'Lån Översikt'!$D$24 - M510, 'Lån Översikt'!$D$24 - M510 + 18300), 
    'Lån Översikt'!$D$24 - M510)
</f>
        <v>14189</v>
      </c>
      <c r="O510" s="25" t="b">
        <f t="shared" si="5"/>
        <v>1</v>
      </c>
      <c r="P510" s="26" t="b">
        <f t="shared" si="6"/>
        <v>1</v>
      </c>
      <c r="Q510" s="27" t="b">
        <f t="shared" si="8"/>
        <v>0</v>
      </c>
    </row>
    <row r="511">
      <c r="F511" s="8">
        <v>508.0</v>
      </c>
      <c r="G511" s="11">
        <f t="shared" si="1"/>
        <v>1871875</v>
      </c>
      <c r="H511" s="9">
        <f>INT(IF(AND('Lån Översikt'!$D$7="JA", 'Lån Översikt'!$D$11="JA", 'Lån Översikt'!$D$8="JA"), (G511*(('Lån Översikt'!$C$7/100*'Lån Översikt'!$C$11/100)-'Lån Översikt'!$C$8/100))/12, IF(AND('Lån Översikt'!$D$7="JA", 'Lån Översikt'!$D$11="JA", 'Lån Översikt'!$D$8="NEJ"), (G511*(('Lån Översikt'!$C$7/100*'Lån Översikt'!$C$11/100))/12), 0)))
</f>
        <v>4784</v>
      </c>
      <c r="I511" s="8">
        <f t="shared" si="2"/>
        <v>4712</v>
      </c>
      <c r="J511" s="8">
        <f>IF(AND(P511, O511), 0, IF(O511, INT((('Lån Översikt'!$C$5 * 1 / 100) / 12)), INT((('Lån Översikt'!$C$5 * 'Lån Översikt'!$C$15 / 100) / 12))))
</f>
        <v>0</v>
      </c>
      <c r="K511" s="8">
        <f t="shared" si="3"/>
        <v>4166</v>
      </c>
      <c r="L511" s="8">
        <f t="shared" si="4"/>
        <v>13662</v>
      </c>
      <c r="M511" s="8">
        <f>(L511 + 'Lån Översikt'!$D$50)</f>
        <v>35611</v>
      </c>
      <c r="N511" s="8">
        <f>IF('Lån Översikt'!$D$22 = "JA", 
    IF(Q511 = TRUE, 'Lån Översikt'!$D$24 - M511, 'Lån Översikt'!$D$24 - M511 + 18300), 
    'Lån Översikt'!$D$24 - M511)
</f>
        <v>14189</v>
      </c>
      <c r="O511" s="25" t="b">
        <f t="shared" si="5"/>
        <v>1</v>
      </c>
      <c r="P511" s="26" t="b">
        <f t="shared" si="6"/>
        <v>1</v>
      </c>
      <c r="Q511" s="27" t="b">
        <f t="shared" si="8"/>
        <v>0</v>
      </c>
    </row>
    <row r="512">
      <c r="F512" s="8">
        <v>509.0</v>
      </c>
      <c r="G512" s="11">
        <f t="shared" si="1"/>
        <v>1871875</v>
      </c>
      <c r="H512" s="9">
        <f>INT(IF(AND('Lån Översikt'!$D$7="JA", 'Lån Översikt'!$D$11="JA", 'Lån Översikt'!$D$8="JA"), (G512*(('Lån Översikt'!$C$7/100*'Lån Översikt'!$C$11/100)-'Lån Översikt'!$C$8/100))/12, IF(AND('Lån Översikt'!$D$7="JA", 'Lån Översikt'!$D$11="JA", 'Lån Översikt'!$D$8="NEJ"), (G512*(('Lån Översikt'!$C$7/100*'Lån Översikt'!$C$11/100))/12), 0)))
</f>
        <v>4784</v>
      </c>
      <c r="I512" s="8">
        <f t="shared" si="2"/>
        <v>4712</v>
      </c>
      <c r="J512" s="8">
        <f>IF(AND(P512, O512), 0, IF(O512, INT((('Lån Översikt'!$C$5 * 1 / 100) / 12)), INT((('Lån Översikt'!$C$5 * 'Lån Översikt'!$C$15 / 100) / 12))))
</f>
        <v>0</v>
      </c>
      <c r="K512" s="8">
        <f t="shared" si="3"/>
        <v>4166</v>
      </c>
      <c r="L512" s="8">
        <f t="shared" si="4"/>
        <v>13662</v>
      </c>
      <c r="M512" s="8">
        <f>(L512 + 'Lån Översikt'!$D$50)</f>
        <v>35611</v>
      </c>
      <c r="N512" s="8">
        <f>IF('Lån Översikt'!$D$22 = "JA", 
    IF(Q512 = TRUE, 'Lån Översikt'!$D$24 - M512, 'Lån Översikt'!$D$24 - M512 + 18300), 
    'Lån Översikt'!$D$24 - M512)
</f>
        <v>14189</v>
      </c>
      <c r="O512" s="25" t="b">
        <f t="shared" si="5"/>
        <v>1</v>
      </c>
      <c r="P512" s="26" t="b">
        <f t="shared" si="6"/>
        <v>1</v>
      </c>
      <c r="Q512" s="27" t="b">
        <f t="shared" si="8"/>
        <v>0</v>
      </c>
    </row>
    <row r="513">
      <c r="F513" s="8">
        <v>510.0</v>
      </c>
      <c r="G513" s="11">
        <f t="shared" si="1"/>
        <v>1871875</v>
      </c>
      <c r="H513" s="9">
        <f>INT(IF(AND('Lån Översikt'!$D$7="JA", 'Lån Översikt'!$D$11="JA", 'Lån Översikt'!$D$8="JA"), (G513*(('Lån Översikt'!$C$7/100*'Lån Översikt'!$C$11/100)-'Lån Översikt'!$C$8/100))/12, IF(AND('Lån Översikt'!$D$7="JA", 'Lån Översikt'!$D$11="JA", 'Lån Översikt'!$D$8="NEJ"), (G513*(('Lån Översikt'!$C$7/100*'Lån Översikt'!$C$11/100))/12), 0)))
</f>
        <v>4784</v>
      </c>
      <c r="I513" s="8">
        <f t="shared" si="2"/>
        <v>4712</v>
      </c>
      <c r="J513" s="8">
        <f>IF(AND(P513, O513), 0, IF(O513, INT((('Lån Översikt'!$C$5 * 1 / 100) / 12)), INT((('Lån Översikt'!$C$5 * 'Lån Översikt'!$C$15 / 100) / 12))))
</f>
        <v>0</v>
      </c>
      <c r="K513" s="8">
        <f t="shared" si="3"/>
        <v>4166</v>
      </c>
      <c r="L513" s="8">
        <f t="shared" si="4"/>
        <v>13662</v>
      </c>
      <c r="M513" s="8">
        <f>(L513 + 'Lån Översikt'!$D$50)</f>
        <v>35611</v>
      </c>
      <c r="N513" s="8">
        <f>IF('Lån Översikt'!$D$22 = "JA", 
    IF(Q513 = TRUE, 'Lån Översikt'!$D$24 - M513, 'Lån Översikt'!$D$24 - M513 + 18300), 
    'Lån Översikt'!$D$24 - M513)
</f>
        <v>14189</v>
      </c>
      <c r="O513" s="25" t="b">
        <f t="shared" si="5"/>
        <v>1</v>
      </c>
      <c r="P513" s="26" t="b">
        <f t="shared" si="6"/>
        <v>1</v>
      </c>
      <c r="Q513" s="27" t="b">
        <f t="shared" si="8"/>
        <v>0</v>
      </c>
    </row>
    <row r="514">
      <c r="F514" s="8">
        <v>511.0</v>
      </c>
      <c r="G514" s="11">
        <f t="shared" si="1"/>
        <v>1871875</v>
      </c>
      <c r="H514" s="9">
        <f>INT(IF(AND('Lån Översikt'!$D$7="JA", 'Lån Översikt'!$D$11="JA", 'Lån Översikt'!$D$8="JA"), (G514*(('Lån Översikt'!$C$7/100*'Lån Översikt'!$C$11/100)-'Lån Översikt'!$C$8/100))/12, IF(AND('Lån Översikt'!$D$7="JA", 'Lån Översikt'!$D$11="JA", 'Lån Översikt'!$D$8="NEJ"), (G514*(('Lån Översikt'!$C$7/100*'Lån Översikt'!$C$11/100))/12), 0)))
</f>
        <v>4784</v>
      </c>
      <c r="I514" s="8">
        <f t="shared" si="2"/>
        <v>4712</v>
      </c>
      <c r="J514" s="8">
        <f>IF(AND(P514, O514), 0, IF(O514, INT((('Lån Översikt'!$C$5 * 1 / 100) / 12)), INT((('Lån Översikt'!$C$5 * 'Lån Översikt'!$C$15 / 100) / 12))))
</f>
        <v>0</v>
      </c>
      <c r="K514" s="8">
        <f t="shared" si="3"/>
        <v>4166</v>
      </c>
      <c r="L514" s="8">
        <f t="shared" si="4"/>
        <v>13662</v>
      </c>
      <c r="M514" s="8">
        <f>(L514 + 'Lån Översikt'!$D$50)</f>
        <v>35611</v>
      </c>
      <c r="N514" s="8">
        <f>IF('Lån Översikt'!$D$22 = "JA", 
    IF(Q514 = TRUE, 'Lån Översikt'!$D$24 - M514, 'Lån Översikt'!$D$24 - M514 + 18300), 
    'Lån Översikt'!$D$24 - M514)
</f>
        <v>14189</v>
      </c>
      <c r="O514" s="25" t="b">
        <f t="shared" si="5"/>
        <v>1</v>
      </c>
      <c r="P514" s="26" t="b">
        <f t="shared" si="6"/>
        <v>1</v>
      </c>
      <c r="Q514" s="27" t="b">
        <f t="shared" si="8"/>
        <v>0</v>
      </c>
    </row>
    <row r="515">
      <c r="F515" s="8">
        <v>512.0</v>
      </c>
      <c r="G515" s="11">
        <f t="shared" si="1"/>
        <v>1871875</v>
      </c>
      <c r="H515" s="9">
        <f>INT(IF(AND('Lån Översikt'!$D$7="JA", 'Lån Översikt'!$D$11="JA", 'Lån Översikt'!$D$8="JA"), (G515*(('Lån Översikt'!$C$7/100*'Lån Översikt'!$C$11/100)-'Lån Översikt'!$C$8/100))/12, IF(AND('Lån Översikt'!$D$7="JA", 'Lån Översikt'!$D$11="JA", 'Lån Översikt'!$D$8="NEJ"), (G515*(('Lån Översikt'!$C$7/100*'Lån Översikt'!$C$11/100))/12), 0)))
</f>
        <v>4784</v>
      </c>
      <c r="I515" s="8">
        <f t="shared" si="2"/>
        <v>4712</v>
      </c>
      <c r="J515" s="8">
        <f>IF(AND(P515, O515), 0, IF(O515, INT((('Lån Översikt'!$C$5 * 1 / 100) / 12)), INT((('Lån Översikt'!$C$5 * 'Lån Översikt'!$C$15 / 100) / 12))))
</f>
        <v>0</v>
      </c>
      <c r="K515" s="8">
        <f t="shared" si="3"/>
        <v>4166</v>
      </c>
      <c r="L515" s="8">
        <f t="shared" si="4"/>
        <v>13662</v>
      </c>
      <c r="M515" s="8">
        <f>(L515 + 'Lån Översikt'!$D$50)</f>
        <v>35611</v>
      </c>
      <c r="N515" s="8">
        <f>IF('Lån Översikt'!$D$22 = "JA", 
    IF(Q515 = TRUE, 'Lån Översikt'!$D$24 - M515, 'Lån Översikt'!$D$24 - M515 + 18300), 
    'Lån Översikt'!$D$24 - M515)
</f>
        <v>14189</v>
      </c>
      <c r="O515" s="25" t="b">
        <f t="shared" si="5"/>
        <v>1</v>
      </c>
      <c r="P515" s="26" t="b">
        <f t="shared" si="6"/>
        <v>1</v>
      </c>
      <c r="Q515" s="27" t="b">
        <f t="shared" si="8"/>
        <v>0</v>
      </c>
    </row>
    <row r="516">
      <c r="F516" s="8">
        <v>513.0</v>
      </c>
      <c r="G516" s="11">
        <f t="shared" si="1"/>
        <v>1871875</v>
      </c>
      <c r="H516" s="9">
        <f>INT(IF(AND('Lån Översikt'!$D$7="JA", 'Lån Översikt'!$D$11="JA", 'Lån Översikt'!$D$8="JA"), (G516*(('Lån Översikt'!$C$7/100*'Lån Översikt'!$C$11/100)-'Lån Översikt'!$C$8/100))/12, IF(AND('Lån Översikt'!$D$7="JA", 'Lån Översikt'!$D$11="JA", 'Lån Översikt'!$D$8="NEJ"), (G516*(('Lån Översikt'!$C$7/100*'Lån Översikt'!$C$11/100))/12), 0)))
</f>
        <v>4784</v>
      </c>
      <c r="I516" s="8">
        <f t="shared" si="2"/>
        <v>4712</v>
      </c>
      <c r="J516" s="8">
        <f>IF(AND(P516, O516), 0, IF(O516, INT((('Lån Översikt'!$C$5 * 1 / 100) / 12)), INT((('Lån Översikt'!$C$5 * 'Lån Översikt'!$C$15 / 100) / 12))))
</f>
        <v>0</v>
      </c>
      <c r="K516" s="8">
        <f t="shared" si="3"/>
        <v>4166</v>
      </c>
      <c r="L516" s="8">
        <f t="shared" si="4"/>
        <v>13662</v>
      </c>
      <c r="M516" s="8">
        <f>(L516 + 'Lån Översikt'!$D$50)</f>
        <v>35611</v>
      </c>
      <c r="N516" s="8">
        <f>IF('Lån Översikt'!$D$22 = "JA", 
    IF(Q516 = TRUE, 'Lån Översikt'!$D$24 - M516, 'Lån Översikt'!$D$24 - M516 + 18300), 
    'Lån Översikt'!$D$24 - M516)
</f>
        <v>14189</v>
      </c>
      <c r="O516" s="25" t="b">
        <f t="shared" si="5"/>
        <v>1</v>
      </c>
      <c r="P516" s="26" t="b">
        <f t="shared" si="6"/>
        <v>1</v>
      </c>
      <c r="Q516" s="27" t="b">
        <f t="shared" si="8"/>
        <v>0</v>
      </c>
    </row>
    <row r="517">
      <c r="F517" s="8">
        <v>514.0</v>
      </c>
      <c r="G517" s="11">
        <f t="shared" si="1"/>
        <v>1871875</v>
      </c>
      <c r="H517" s="9">
        <f>INT(IF(AND('Lån Översikt'!$D$7="JA", 'Lån Översikt'!$D$11="JA", 'Lån Översikt'!$D$8="JA"), (G517*(('Lån Översikt'!$C$7/100*'Lån Översikt'!$C$11/100)-'Lån Översikt'!$C$8/100))/12, IF(AND('Lån Översikt'!$D$7="JA", 'Lån Översikt'!$D$11="JA", 'Lån Översikt'!$D$8="NEJ"), (G517*(('Lån Översikt'!$C$7/100*'Lån Översikt'!$C$11/100))/12), 0)))
</f>
        <v>4784</v>
      </c>
      <c r="I517" s="8">
        <f t="shared" si="2"/>
        <v>4712</v>
      </c>
      <c r="J517" s="8">
        <f>IF(AND(P517, O517), 0, IF(O517, INT((('Lån Översikt'!$C$5 * 1 / 100) / 12)), INT((('Lån Översikt'!$C$5 * 'Lån Översikt'!$C$15 / 100) / 12))))
</f>
        <v>0</v>
      </c>
      <c r="K517" s="8">
        <f t="shared" si="3"/>
        <v>4166</v>
      </c>
      <c r="L517" s="8">
        <f t="shared" si="4"/>
        <v>13662</v>
      </c>
      <c r="M517" s="8">
        <f>(L517 + 'Lån Översikt'!$D$50)</f>
        <v>35611</v>
      </c>
      <c r="N517" s="8">
        <f>IF('Lån Översikt'!$D$22 = "JA", 
    IF(Q517 = TRUE, 'Lån Översikt'!$D$24 - M517, 'Lån Översikt'!$D$24 - M517 + 18300), 
    'Lån Översikt'!$D$24 - M517)
</f>
        <v>14189</v>
      </c>
      <c r="O517" s="25" t="b">
        <f t="shared" si="5"/>
        <v>1</v>
      </c>
      <c r="P517" s="26" t="b">
        <f t="shared" si="6"/>
        <v>1</v>
      </c>
      <c r="Q517" s="27" t="b">
        <f t="shared" si="8"/>
        <v>0</v>
      </c>
    </row>
    <row r="518">
      <c r="F518" s="8">
        <v>515.0</v>
      </c>
      <c r="G518" s="11">
        <f t="shared" si="1"/>
        <v>1871875</v>
      </c>
      <c r="H518" s="9">
        <f>INT(IF(AND('Lån Översikt'!$D$7="JA", 'Lån Översikt'!$D$11="JA", 'Lån Översikt'!$D$8="JA"), (G518*(('Lån Översikt'!$C$7/100*'Lån Översikt'!$C$11/100)-'Lån Översikt'!$C$8/100))/12, IF(AND('Lån Översikt'!$D$7="JA", 'Lån Översikt'!$D$11="JA", 'Lån Översikt'!$D$8="NEJ"), (G518*(('Lån Översikt'!$C$7/100*'Lån Översikt'!$C$11/100))/12), 0)))
</f>
        <v>4784</v>
      </c>
      <c r="I518" s="8">
        <f t="shared" si="2"/>
        <v>4712</v>
      </c>
      <c r="J518" s="8">
        <f>IF(AND(P518, O518), 0, IF(O518, INT((('Lån Översikt'!$C$5 * 1 / 100) / 12)), INT((('Lån Översikt'!$C$5 * 'Lån Översikt'!$C$15 / 100) / 12))))
</f>
        <v>0</v>
      </c>
      <c r="K518" s="8">
        <f t="shared" si="3"/>
        <v>4166</v>
      </c>
      <c r="L518" s="8">
        <f t="shared" si="4"/>
        <v>13662</v>
      </c>
      <c r="M518" s="8">
        <f>(L518 + 'Lån Översikt'!$D$50)</f>
        <v>35611</v>
      </c>
      <c r="N518" s="8">
        <f>IF('Lån Översikt'!$D$22 = "JA", 
    IF(Q518 = TRUE, 'Lån Översikt'!$D$24 - M518, 'Lån Översikt'!$D$24 - M518 + 18300), 
    'Lån Översikt'!$D$24 - M518)
</f>
        <v>14189</v>
      </c>
      <c r="O518" s="25" t="b">
        <f t="shared" si="5"/>
        <v>1</v>
      </c>
      <c r="P518" s="26" t="b">
        <f t="shared" si="6"/>
        <v>1</v>
      </c>
      <c r="Q518" s="27" t="b">
        <f t="shared" si="8"/>
        <v>0</v>
      </c>
    </row>
    <row r="519">
      <c r="F519" s="8">
        <v>516.0</v>
      </c>
      <c r="G519" s="11">
        <f t="shared" si="1"/>
        <v>1871875</v>
      </c>
      <c r="H519" s="9">
        <f>INT(IF(AND('Lån Översikt'!$D$7="JA", 'Lån Översikt'!$D$11="JA", 'Lån Översikt'!$D$8="JA"), (G519*(('Lån Översikt'!$C$7/100*'Lån Översikt'!$C$11/100)-'Lån Översikt'!$C$8/100))/12, IF(AND('Lån Översikt'!$D$7="JA", 'Lån Översikt'!$D$11="JA", 'Lån Översikt'!$D$8="NEJ"), (G519*(('Lån Översikt'!$C$7/100*'Lån Översikt'!$C$11/100))/12), 0)))
</f>
        <v>4784</v>
      </c>
      <c r="I519" s="8">
        <f t="shared" si="2"/>
        <v>4712</v>
      </c>
      <c r="J519" s="8">
        <f>IF(AND(P519, O519), 0, IF(O519, INT((('Lån Översikt'!$C$5 * 1 / 100) / 12)), INT((('Lån Översikt'!$C$5 * 'Lån Översikt'!$C$15 / 100) / 12))))
</f>
        <v>0</v>
      </c>
      <c r="K519" s="8">
        <f t="shared" si="3"/>
        <v>4166</v>
      </c>
      <c r="L519" s="8">
        <f t="shared" si="4"/>
        <v>13662</v>
      </c>
      <c r="M519" s="8">
        <f>(L519 + 'Lån Översikt'!$D$50)</f>
        <v>35611</v>
      </c>
      <c r="N519" s="8">
        <f>IF('Lån Översikt'!$D$22 = "JA", 
    IF(Q519 = TRUE, 'Lån Översikt'!$D$24 - M519, 'Lån Översikt'!$D$24 - M519 + 18300), 
    'Lån Översikt'!$D$24 - M519)
</f>
        <v>14189</v>
      </c>
      <c r="O519" s="25" t="b">
        <f t="shared" si="5"/>
        <v>1</v>
      </c>
      <c r="P519" s="26" t="b">
        <f t="shared" si="6"/>
        <v>1</v>
      </c>
      <c r="Q519" s="27" t="b">
        <f t="shared" si="8"/>
        <v>0</v>
      </c>
    </row>
    <row r="520">
      <c r="F520" s="8">
        <v>517.0</v>
      </c>
      <c r="G520" s="11">
        <f t="shared" si="1"/>
        <v>1871875</v>
      </c>
      <c r="H520" s="9">
        <f>INT(IF(AND('Lån Översikt'!$D$7="JA", 'Lån Översikt'!$D$11="JA", 'Lån Översikt'!$D$8="JA"), (G520*(('Lån Översikt'!$C$7/100*'Lån Översikt'!$C$11/100)-'Lån Översikt'!$C$8/100))/12, IF(AND('Lån Översikt'!$D$7="JA", 'Lån Översikt'!$D$11="JA", 'Lån Översikt'!$D$8="NEJ"), (G520*(('Lån Översikt'!$C$7/100*'Lån Översikt'!$C$11/100))/12), 0)))
</f>
        <v>4784</v>
      </c>
      <c r="I520" s="8">
        <f t="shared" si="2"/>
        <v>4712</v>
      </c>
      <c r="J520" s="8">
        <f>IF(AND(P520, O520), 0, IF(O520, INT((('Lån Översikt'!$C$5 * 1 / 100) / 12)), INT((('Lån Översikt'!$C$5 * 'Lån Översikt'!$C$15 / 100) / 12))))
</f>
        <v>0</v>
      </c>
      <c r="K520" s="8">
        <f t="shared" si="3"/>
        <v>4166</v>
      </c>
      <c r="L520" s="8">
        <f t="shared" si="4"/>
        <v>13662</v>
      </c>
      <c r="M520" s="8">
        <f>(L520 + 'Lån Översikt'!$D$50)</f>
        <v>35611</v>
      </c>
      <c r="N520" s="8">
        <f>IF('Lån Översikt'!$D$22 = "JA", 
    IF(Q520 = TRUE, 'Lån Översikt'!$D$24 - M520, 'Lån Översikt'!$D$24 - M520 + 18300), 
    'Lån Översikt'!$D$24 - M520)
</f>
        <v>14189</v>
      </c>
      <c r="O520" s="25" t="b">
        <f t="shared" si="5"/>
        <v>1</v>
      </c>
      <c r="P520" s="26" t="b">
        <f t="shared" si="6"/>
        <v>1</v>
      </c>
      <c r="Q520" s="27" t="b">
        <f t="shared" si="8"/>
        <v>0</v>
      </c>
    </row>
    <row r="521">
      <c r="F521" s="8">
        <v>518.0</v>
      </c>
      <c r="G521" s="11">
        <f t="shared" si="1"/>
        <v>1871875</v>
      </c>
      <c r="H521" s="9">
        <f>INT(IF(AND('Lån Översikt'!$D$7="JA", 'Lån Översikt'!$D$11="JA", 'Lån Översikt'!$D$8="JA"), (G521*(('Lån Översikt'!$C$7/100*'Lån Översikt'!$C$11/100)-'Lån Översikt'!$C$8/100))/12, IF(AND('Lån Översikt'!$D$7="JA", 'Lån Översikt'!$D$11="JA", 'Lån Översikt'!$D$8="NEJ"), (G521*(('Lån Översikt'!$C$7/100*'Lån Översikt'!$C$11/100))/12), 0)))
</f>
        <v>4784</v>
      </c>
      <c r="I521" s="8">
        <f t="shared" si="2"/>
        <v>4712</v>
      </c>
      <c r="J521" s="8">
        <f>IF(AND(P521, O521), 0, IF(O521, INT((('Lån Översikt'!$C$5 * 1 / 100) / 12)), INT((('Lån Översikt'!$C$5 * 'Lån Översikt'!$C$15 / 100) / 12))))
</f>
        <v>0</v>
      </c>
      <c r="K521" s="8">
        <f t="shared" si="3"/>
        <v>4166</v>
      </c>
      <c r="L521" s="8">
        <f t="shared" si="4"/>
        <v>13662</v>
      </c>
      <c r="M521" s="8">
        <f>(L521 + 'Lån Översikt'!$D$50)</f>
        <v>35611</v>
      </c>
      <c r="N521" s="8">
        <f>IF('Lån Översikt'!$D$22 = "JA", 
    IF(Q521 = TRUE, 'Lån Översikt'!$D$24 - M521, 'Lån Översikt'!$D$24 - M521 + 18300), 
    'Lån Översikt'!$D$24 - M521)
</f>
        <v>14189</v>
      </c>
      <c r="O521" s="25" t="b">
        <f t="shared" si="5"/>
        <v>1</v>
      </c>
      <c r="P521" s="26" t="b">
        <f t="shared" si="6"/>
        <v>1</v>
      </c>
      <c r="Q521" s="27" t="b">
        <f t="shared" si="8"/>
        <v>0</v>
      </c>
    </row>
    <row r="522">
      <c r="F522" s="8">
        <v>519.0</v>
      </c>
      <c r="G522" s="11">
        <f t="shared" si="1"/>
        <v>1871875</v>
      </c>
      <c r="H522" s="9">
        <f>INT(IF(AND('Lån Översikt'!$D$7="JA", 'Lån Översikt'!$D$11="JA", 'Lån Översikt'!$D$8="JA"), (G522*(('Lån Översikt'!$C$7/100*'Lån Översikt'!$C$11/100)-'Lån Översikt'!$C$8/100))/12, IF(AND('Lån Översikt'!$D$7="JA", 'Lån Översikt'!$D$11="JA", 'Lån Översikt'!$D$8="NEJ"), (G522*(('Lån Översikt'!$C$7/100*'Lån Översikt'!$C$11/100))/12), 0)))
</f>
        <v>4784</v>
      </c>
      <c r="I522" s="8">
        <f t="shared" si="2"/>
        <v>4712</v>
      </c>
      <c r="J522" s="8">
        <f>IF(AND(P522, O522), 0, IF(O522, INT((('Lån Översikt'!$C$5 * 1 / 100) / 12)), INT((('Lån Översikt'!$C$5 * 'Lån Översikt'!$C$15 / 100) / 12))))
</f>
        <v>0</v>
      </c>
      <c r="K522" s="8">
        <f t="shared" si="3"/>
        <v>4166</v>
      </c>
      <c r="L522" s="8">
        <f t="shared" si="4"/>
        <v>13662</v>
      </c>
      <c r="M522" s="8">
        <f>(L522 + 'Lån Översikt'!$D$50)</f>
        <v>35611</v>
      </c>
      <c r="N522" s="8">
        <f>IF('Lån Översikt'!$D$22 = "JA", 
    IF(Q522 = TRUE, 'Lån Översikt'!$D$24 - M522, 'Lån Översikt'!$D$24 - M522 + 18300), 
    'Lån Översikt'!$D$24 - M522)
</f>
        <v>14189</v>
      </c>
      <c r="O522" s="25" t="b">
        <f t="shared" si="5"/>
        <v>1</v>
      </c>
      <c r="P522" s="26" t="b">
        <f t="shared" si="6"/>
        <v>1</v>
      </c>
      <c r="Q522" s="27" t="b">
        <f t="shared" si="8"/>
        <v>0</v>
      </c>
    </row>
    <row r="523">
      <c r="F523" s="8">
        <v>520.0</v>
      </c>
      <c r="G523" s="11">
        <f t="shared" si="1"/>
        <v>1871875</v>
      </c>
      <c r="H523" s="9">
        <f>INT(IF(AND('Lån Översikt'!$D$7="JA", 'Lån Översikt'!$D$11="JA", 'Lån Översikt'!$D$8="JA"), (G523*(('Lån Översikt'!$C$7/100*'Lån Översikt'!$C$11/100)-'Lån Översikt'!$C$8/100))/12, IF(AND('Lån Översikt'!$D$7="JA", 'Lån Översikt'!$D$11="JA", 'Lån Översikt'!$D$8="NEJ"), (G523*(('Lån Översikt'!$C$7/100*'Lån Översikt'!$C$11/100))/12), 0)))
</f>
        <v>4784</v>
      </c>
      <c r="I523" s="8">
        <f t="shared" si="2"/>
        <v>4712</v>
      </c>
      <c r="J523" s="8">
        <f>IF(AND(P523, O523), 0, IF(O523, INT((('Lån Översikt'!$C$5 * 1 / 100) / 12)), INT((('Lån Översikt'!$C$5 * 'Lån Översikt'!$C$15 / 100) / 12))))
</f>
        <v>0</v>
      </c>
      <c r="K523" s="8">
        <f t="shared" si="3"/>
        <v>4166</v>
      </c>
      <c r="L523" s="8">
        <f t="shared" si="4"/>
        <v>13662</v>
      </c>
      <c r="M523" s="8">
        <f>(L523 + 'Lån Översikt'!$D$50)</f>
        <v>35611</v>
      </c>
      <c r="N523" s="8">
        <f>IF('Lån Översikt'!$D$22 = "JA", 
    IF(Q523 = TRUE, 'Lån Översikt'!$D$24 - M523, 'Lån Översikt'!$D$24 - M523 + 18300), 
    'Lån Översikt'!$D$24 - M523)
</f>
        <v>14189</v>
      </c>
      <c r="O523" s="25" t="b">
        <f t="shared" si="5"/>
        <v>1</v>
      </c>
      <c r="P523" s="26" t="b">
        <f t="shared" si="6"/>
        <v>1</v>
      </c>
      <c r="Q523" s="27" t="b">
        <f t="shared" si="8"/>
        <v>0</v>
      </c>
    </row>
    <row r="524">
      <c r="F524" s="8">
        <v>521.0</v>
      </c>
      <c r="G524" s="11">
        <f t="shared" si="1"/>
        <v>1871875</v>
      </c>
      <c r="H524" s="9">
        <f>INT(IF(AND('Lån Översikt'!$D$7="JA", 'Lån Översikt'!$D$11="JA", 'Lån Översikt'!$D$8="JA"), (G524*(('Lån Översikt'!$C$7/100*'Lån Översikt'!$C$11/100)-'Lån Översikt'!$C$8/100))/12, IF(AND('Lån Översikt'!$D$7="JA", 'Lån Översikt'!$D$11="JA", 'Lån Översikt'!$D$8="NEJ"), (G524*(('Lån Översikt'!$C$7/100*'Lån Översikt'!$C$11/100))/12), 0)))
</f>
        <v>4784</v>
      </c>
      <c r="I524" s="8">
        <f t="shared" si="2"/>
        <v>4712</v>
      </c>
      <c r="J524" s="8">
        <f>IF(AND(P524, O524), 0, IF(O524, INT((('Lån Översikt'!$C$5 * 1 / 100) / 12)), INT((('Lån Översikt'!$C$5 * 'Lån Översikt'!$C$15 / 100) / 12))))
</f>
        <v>0</v>
      </c>
      <c r="K524" s="8">
        <f t="shared" si="3"/>
        <v>4166</v>
      </c>
      <c r="L524" s="8">
        <f t="shared" si="4"/>
        <v>13662</v>
      </c>
      <c r="M524" s="8">
        <f>(L524 + 'Lån Översikt'!$D$50)</f>
        <v>35611</v>
      </c>
      <c r="N524" s="8">
        <f>IF('Lån Översikt'!$D$22 = "JA", 
    IF(Q524 = TRUE, 'Lån Översikt'!$D$24 - M524, 'Lån Översikt'!$D$24 - M524 + 18300), 
    'Lån Översikt'!$D$24 - M524)
</f>
        <v>14189</v>
      </c>
      <c r="O524" s="25" t="b">
        <f t="shared" si="5"/>
        <v>1</v>
      </c>
      <c r="P524" s="26" t="b">
        <f t="shared" si="6"/>
        <v>1</v>
      </c>
      <c r="Q524" s="27" t="b">
        <f t="shared" si="8"/>
        <v>0</v>
      </c>
    </row>
    <row r="525">
      <c r="F525" s="8">
        <v>522.0</v>
      </c>
      <c r="G525" s="11">
        <f t="shared" si="1"/>
        <v>1871875</v>
      </c>
      <c r="H525" s="9">
        <f>INT(IF(AND('Lån Översikt'!$D$7="JA", 'Lån Översikt'!$D$11="JA", 'Lån Översikt'!$D$8="JA"), (G525*(('Lån Översikt'!$C$7/100*'Lån Översikt'!$C$11/100)-'Lån Översikt'!$C$8/100))/12, IF(AND('Lån Översikt'!$D$7="JA", 'Lån Översikt'!$D$11="JA", 'Lån Översikt'!$D$8="NEJ"), (G525*(('Lån Översikt'!$C$7/100*'Lån Översikt'!$C$11/100))/12), 0)))
</f>
        <v>4784</v>
      </c>
      <c r="I525" s="8">
        <f t="shared" si="2"/>
        <v>4712</v>
      </c>
      <c r="J525" s="8">
        <f>IF(AND(P525, O525), 0, IF(O525, INT((('Lån Översikt'!$C$5 * 1 / 100) / 12)), INT((('Lån Översikt'!$C$5 * 'Lån Översikt'!$C$15 / 100) / 12))))
</f>
        <v>0</v>
      </c>
      <c r="K525" s="8">
        <f t="shared" si="3"/>
        <v>4166</v>
      </c>
      <c r="L525" s="8">
        <f t="shared" si="4"/>
        <v>13662</v>
      </c>
      <c r="M525" s="8">
        <f>(L525 + 'Lån Översikt'!$D$50)</f>
        <v>35611</v>
      </c>
      <c r="N525" s="8">
        <f>IF('Lån Översikt'!$D$22 = "JA", 
    IF(Q525 = TRUE, 'Lån Översikt'!$D$24 - M525, 'Lån Översikt'!$D$24 - M525 + 18300), 
    'Lån Översikt'!$D$24 - M525)
</f>
        <v>14189</v>
      </c>
      <c r="O525" s="25" t="b">
        <f t="shared" si="5"/>
        <v>1</v>
      </c>
      <c r="P525" s="26" t="b">
        <f t="shared" si="6"/>
        <v>1</v>
      </c>
      <c r="Q525" s="27" t="b">
        <f t="shared" si="8"/>
        <v>0</v>
      </c>
    </row>
    <row r="526">
      <c r="F526" s="8">
        <v>523.0</v>
      </c>
      <c r="G526" s="11">
        <f t="shared" si="1"/>
        <v>1871875</v>
      </c>
      <c r="H526" s="9">
        <f>INT(IF(AND('Lån Översikt'!$D$7="JA", 'Lån Översikt'!$D$11="JA", 'Lån Översikt'!$D$8="JA"), (G526*(('Lån Översikt'!$C$7/100*'Lån Översikt'!$C$11/100)-'Lån Översikt'!$C$8/100))/12, IF(AND('Lån Översikt'!$D$7="JA", 'Lån Översikt'!$D$11="JA", 'Lån Översikt'!$D$8="NEJ"), (G526*(('Lån Översikt'!$C$7/100*'Lån Översikt'!$C$11/100))/12), 0)))
</f>
        <v>4784</v>
      </c>
      <c r="I526" s="8">
        <f t="shared" si="2"/>
        <v>4712</v>
      </c>
      <c r="J526" s="8">
        <f>IF(AND(P526, O526), 0, IF(O526, INT((('Lån Översikt'!$C$5 * 1 / 100) / 12)), INT((('Lån Översikt'!$C$5 * 'Lån Översikt'!$C$15 / 100) / 12))))
</f>
        <v>0</v>
      </c>
      <c r="K526" s="8">
        <f t="shared" si="3"/>
        <v>4166</v>
      </c>
      <c r="L526" s="8">
        <f t="shared" si="4"/>
        <v>13662</v>
      </c>
      <c r="M526" s="8">
        <f>(L526 + 'Lån Översikt'!$D$50)</f>
        <v>35611</v>
      </c>
      <c r="N526" s="8">
        <f>IF('Lån Översikt'!$D$22 = "JA", 
    IF(Q526 = TRUE, 'Lån Översikt'!$D$24 - M526, 'Lån Översikt'!$D$24 - M526 + 18300), 
    'Lån Översikt'!$D$24 - M526)
</f>
        <v>14189</v>
      </c>
      <c r="O526" s="25" t="b">
        <f t="shared" si="5"/>
        <v>1</v>
      </c>
      <c r="P526" s="26" t="b">
        <f t="shared" si="6"/>
        <v>1</v>
      </c>
      <c r="Q526" s="27" t="b">
        <f t="shared" si="8"/>
        <v>0</v>
      </c>
    </row>
    <row r="527">
      <c r="F527" s="8">
        <v>524.0</v>
      </c>
      <c r="G527" s="11">
        <f t="shared" si="1"/>
        <v>1871875</v>
      </c>
      <c r="H527" s="9">
        <f>INT(IF(AND('Lån Översikt'!$D$7="JA", 'Lån Översikt'!$D$11="JA", 'Lån Översikt'!$D$8="JA"), (G527*(('Lån Översikt'!$C$7/100*'Lån Översikt'!$C$11/100)-'Lån Översikt'!$C$8/100))/12, IF(AND('Lån Översikt'!$D$7="JA", 'Lån Översikt'!$D$11="JA", 'Lån Översikt'!$D$8="NEJ"), (G527*(('Lån Översikt'!$C$7/100*'Lån Översikt'!$C$11/100))/12), 0)))
</f>
        <v>4784</v>
      </c>
      <c r="I527" s="8">
        <f t="shared" si="2"/>
        <v>4712</v>
      </c>
      <c r="J527" s="8">
        <f>IF(AND(P527, O527), 0, IF(O527, INT((('Lån Översikt'!$C$5 * 1 / 100) / 12)), INT((('Lån Översikt'!$C$5 * 'Lån Översikt'!$C$15 / 100) / 12))))
</f>
        <v>0</v>
      </c>
      <c r="K527" s="8">
        <f t="shared" si="3"/>
        <v>4166</v>
      </c>
      <c r="L527" s="8">
        <f t="shared" si="4"/>
        <v>13662</v>
      </c>
      <c r="M527" s="8">
        <f>(L527 + 'Lån Översikt'!$D$50)</f>
        <v>35611</v>
      </c>
      <c r="N527" s="8">
        <f>IF('Lån Översikt'!$D$22 = "JA", 
    IF(Q527 = TRUE, 'Lån Översikt'!$D$24 - M527, 'Lån Översikt'!$D$24 - M527 + 18300), 
    'Lån Översikt'!$D$24 - M527)
</f>
        <v>14189</v>
      </c>
      <c r="O527" s="25" t="b">
        <f t="shared" si="5"/>
        <v>1</v>
      </c>
      <c r="P527" s="26" t="b">
        <f t="shared" si="6"/>
        <v>1</v>
      </c>
      <c r="Q527" s="27" t="b">
        <f t="shared" si="8"/>
        <v>0</v>
      </c>
    </row>
    <row r="528">
      <c r="F528" s="8">
        <v>525.0</v>
      </c>
      <c r="G528" s="11">
        <f t="shared" si="1"/>
        <v>1871875</v>
      </c>
      <c r="H528" s="9">
        <f>INT(IF(AND('Lån Översikt'!$D$7="JA", 'Lån Översikt'!$D$11="JA", 'Lån Översikt'!$D$8="JA"), (G528*(('Lån Översikt'!$C$7/100*'Lån Översikt'!$C$11/100)-'Lån Översikt'!$C$8/100))/12, IF(AND('Lån Översikt'!$D$7="JA", 'Lån Översikt'!$D$11="JA", 'Lån Översikt'!$D$8="NEJ"), (G528*(('Lån Översikt'!$C$7/100*'Lån Översikt'!$C$11/100))/12), 0)))
</f>
        <v>4784</v>
      </c>
      <c r="I528" s="8">
        <f t="shared" si="2"/>
        <v>4712</v>
      </c>
      <c r="J528" s="8">
        <f>IF(AND(P528, O528), 0, IF(O528, INT((('Lån Översikt'!$C$5 * 1 / 100) / 12)), INT((('Lån Översikt'!$C$5 * 'Lån Översikt'!$C$15 / 100) / 12))))
</f>
        <v>0</v>
      </c>
      <c r="K528" s="8">
        <f t="shared" si="3"/>
        <v>4166</v>
      </c>
      <c r="L528" s="8">
        <f t="shared" si="4"/>
        <v>13662</v>
      </c>
      <c r="M528" s="8">
        <f>(L528 + 'Lån Översikt'!$D$50)</f>
        <v>35611</v>
      </c>
      <c r="N528" s="8">
        <f>IF('Lån Översikt'!$D$22 = "JA", 
    IF(Q528 = TRUE, 'Lån Översikt'!$D$24 - M528, 'Lån Översikt'!$D$24 - M528 + 18300), 
    'Lån Översikt'!$D$24 - M528)
</f>
        <v>14189</v>
      </c>
      <c r="O528" s="25" t="b">
        <f t="shared" si="5"/>
        <v>1</v>
      </c>
      <c r="P528" s="26" t="b">
        <f t="shared" si="6"/>
        <v>1</v>
      </c>
      <c r="Q528" s="27" t="b">
        <f t="shared" si="8"/>
        <v>0</v>
      </c>
    </row>
    <row r="529">
      <c r="F529" s="8">
        <v>526.0</v>
      </c>
      <c r="G529" s="11">
        <f t="shared" si="1"/>
        <v>1871875</v>
      </c>
      <c r="H529" s="9">
        <f>INT(IF(AND('Lån Översikt'!$D$7="JA", 'Lån Översikt'!$D$11="JA", 'Lån Översikt'!$D$8="JA"), (G529*(('Lån Översikt'!$C$7/100*'Lån Översikt'!$C$11/100)-'Lån Översikt'!$C$8/100))/12, IF(AND('Lån Översikt'!$D$7="JA", 'Lån Översikt'!$D$11="JA", 'Lån Översikt'!$D$8="NEJ"), (G529*(('Lån Översikt'!$C$7/100*'Lån Översikt'!$C$11/100))/12), 0)))
</f>
        <v>4784</v>
      </c>
      <c r="I529" s="8">
        <f t="shared" si="2"/>
        <v>4712</v>
      </c>
      <c r="J529" s="8">
        <f>IF(AND(P529, O529), 0, IF(O529, INT((('Lån Översikt'!$C$5 * 1 / 100) / 12)), INT((('Lån Översikt'!$C$5 * 'Lån Översikt'!$C$15 / 100) / 12))))
</f>
        <v>0</v>
      </c>
      <c r="K529" s="8">
        <f t="shared" si="3"/>
        <v>4166</v>
      </c>
      <c r="L529" s="8">
        <f t="shared" si="4"/>
        <v>13662</v>
      </c>
      <c r="M529" s="8">
        <f>(L529 + 'Lån Översikt'!$D$50)</f>
        <v>35611</v>
      </c>
      <c r="N529" s="8">
        <f>IF('Lån Översikt'!$D$22 = "JA", 
    IF(Q529 = TRUE, 'Lån Översikt'!$D$24 - M529, 'Lån Översikt'!$D$24 - M529 + 18300), 
    'Lån Översikt'!$D$24 - M529)
</f>
        <v>14189</v>
      </c>
      <c r="O529" s="25" t="b">
        <f t="shared" si="5"/>
        <v>1</v>
      </c>
      <c r="P529" s="26" t="b">
        <f t="shared" si="6"/>
        <v>1</v>
      </c>
      <c r="Q529" s="27" t="b">
        <f t="shared" si="8"/>
        <v>0</v>
      </c>
    </row>
    <row r="530">
      <c r="F530" s="8">
        <v>527.0</v>
      </c>
      <c r="G530" s="11">
        <f t="shared" si="1"/>
        <v>1871875</v>
      </c>
      <c r="H530" s="9">
        <f>INT(IF(AND('Lån Översikt'!$D$7="JA", 'Lån Översikt'!$D$11="JA", 'Lån Översikt'!$D$8="JA"), (G530*(('Lån Översikt'!$C$7/100*'Lån Översikt'!$C$11/100)-'Lån Översikt'!$C$8/100))/12, IF(AND('Lån Översikt'!$D$7="JA", 'Lån Översikt'!$D$11="JA", 'Lån Översikt'!$D$8="NEJ"), (G530*(('Lån Översikt'!$C$7/100*'Lån Översikt'!$C$11/100))/12), 0)))
</f>
        <v>4784</v>
      </c>
      <c r="I530" s="8">
        <f t="shared" si="2"/>
        <v>4712</v>
      </c>
      <c r="J530" s="8">
        <f>IF(AND(P530, O530), 0, IF(O530, INT((('Lån Översikt'!$C$5 * 1 / 100) / 12)), INT((('Lån Översikt'!$C$5 * 'Lån Översikt'!$C$15 / 100) / 12))))
</f>
        <v>0</v>
      </c>
      <c r="K530" s="8">
        <f t="shared" si="3"/>
        <v>4166</v>
      </c>
      <c r="L530" s="8">
        <f t="shared" si="4"/>
        <v>13662</v>
      </c>
      <c r="M530" s="8">
        <f>(L530 + 'Lån Översikt'!$D$50)</f>
        <v>35611</v>
      </c>
      <c r="N530" s="8">
        <f>IF('Lån Översikt'!$D$22 = "JA", 
    IF(Q530 = TRUE, 'Lån Översikt'!$D$24 - M530, 'Lån Översikt'!$D$24 - M530 + 18300), 
    'Lån Översikt'!$D$24 - M530)
</f>
        <v>14189</v>
      </c>
      <c r="O530" s="25" t="b">
        <f t="shared" si="5"/>
        <v>1</v>
      </c>
      <c r="P530" s="26" t="b">
        <f t="shared" si="6"/>
        <v>1</v>
      </c>
      <c r="Q530" s="27" t="b">
        <f t="shared" si="8"/>
        <v>0</v>
      </c>
    </row>
    <row r="531">
      <c r="F531" s="8">
        <v>528.0</v>
      </c>
      <c r="G531" s="11">
        <f t="shared" si="1"/>
        <v>1871875</v>
      </c>
      <c r="H531" s="9">
        <f>INT(IF(AND('Lån Översikt'!$D$7="JA", 'Lån Översikt'!$D$11="JA", 'Lån Översikt'!$D$8="JA"), (G531*(('Lån Översikt'!$C$7/100*'Lån Översikt'!$C$11/100)-'Lån Översikt'!$C$8/100))/12, IF(AND('Lån Översikt'!$D$7="JA", 'Lån Översikt'!$D$11="JA", 'Lån Översikt'!$D$8="NEJ"), (G531*(('Lån Översikt'!$C$7/100*'Lån Översikt'!$C$11/100))/12), 0)))
</f>
        <v>4784</v>
      </c>
      <c r="I531" s="8">
        <f t="shared" si="2"/>
        <v>4712</v>
      </c>
      <c r="J531" s="8">
        <f>IF(AND(P531, O531), 0, IF(O531, INT((('Lån Översikt'!$C$5 * 1 / 100) / 12)), INT((('Lån Översikt'!$C$5 * 'Lån Översikt'!$C$15 / 100) / 12))))
</f>
        <v>0</v>
      </c>
      <c r="K531" s="8">
        <f t="shared" si="3"/>
        <v>4166</v>
      </c>
      <c r="L531" s="8">
        <f t="shared" si="4"/>
        <v>13662</v>
      </c>
      <c r="M531" s="8">
        <f>(L531 + 'Lån Översikt'!$D$50)</f>
        <v>35611</v>
      </c>
      <c r="N531" s="8">
        <f>IF('Lån Översikt'!$D$22 = "JA", 
    IF(Q531 = TRUE, 'Lån Översikt'!$D$24 - M531, 'Lån Översikt'!$D$24 - M531 + 18300), 
    'Lån Översikt'!$D$24 - M531)
</f>
        <v>14189</v>
      </c>
      <c r="O531" s="25" t="b">
        <f t="shared" si="5"/>
        <v>1</v>
      </c>
      <c r="P531" s="26" t="b">
        <f t="shared" si="6"/>
        <v>1</v>
      </c>
      <c r="Q531" s="27" t="b">
        <f t="shared" si="8"/>
        <v>0</v>
      </c>
    </row>
    <row r="532">
      <c r="F532" s="8">
        <v>529.0</v>
      </c>
      <c r="G532" s="11">
        <f t="shared" si="1"/>
        <v>1871875</v>
      </c>
      <c r="H532" s="9">
        <f>INT(IF(AND('Lån Översikt'!$D$7="JA", 'Lån Översikt'!$D$11="JA", 'Lån Översikt'!$D$8="JA"), (G532*(('Lån Översikt'!$C$7/100*'Lån Översikt'!$C$11/100)-'Lån Översikt'!$C$8/100))/12, IF(AND('Lån Översikt'!$D$7="JA", 'Lån Översikt'!$D$11="JA", 'Lån Översikt'!$D$8="NEJ"), (G532*(('Lån Översikt'!$C$7/100*'Lån Översikt'!$C$11/100))/12), 0)))
</f>
        <v>4784</v>
      </c>
      <c r="I532" s="8">
        <f t="shared" si="2"/>
        <v>4712</v>
      </c>
      <c r="J532" s="8">
        <f>IF(AND(P532, O532), 0, IF(O532, INT((('Lån Översikt'!$C$5 * 1 / 100) / 12)), INT((('Lån Översikt'!$C$5 * 'Lån Översikt'!$C$15 / 100) / 12))))
</f>
        <v>0</v>
      </c>
      <c r="K532" s="8">
        <f t="shared" si="3"/>
        <v>4166</v>
      </c>
      <c r="L532" s="8">
        <f t="shared" si="4"/>
        <v>13662</v>
      </c>
      <c r="M532" s="8">
        <f>(L532 + 'Lån Översikt'!$D$50)</f>
        <v>35611</v>
      </c>
      <c r="N532" s="8">
        <f>IF('Lån Översikt'!$D$22 = "JA", 
    IF(Q532 = TRUE, 'Lån Översikt'!$D$24 - M532, 'Lån Översikt'!$D$24 - M532 + 18300), 
    'Lån Översikt'!$D$24 - M532)
</f>
        <v>14189</v>
      </c>
      <c r="O532" s="25" t="b">
        <f t="shared" si="5"/>
        <v>1</v>
      </c>
      <c r="P532" s="26" t="b">
        <f t="shared" si="6"/>
        <v>1</v>
      </c>
      <c r="Q532" s="27" t="b">
        <f t="shared" si="8"/>
        <v>0</v>
      </c>
    </row>
    <row r="533">
      <c r="F533" s="8">
        <v>530.0</v>
      </c>
      <c r="G533" s="11">
        <f t="shared" si="1"/>
        <v>1871875</v>
      </c>
      <c r="H533" s="9">
        <f>INT(IF(AND('Lån Översikt'!$D$7="JA", 'Lån Översikt'!$D$11="JA", 'Lån Översikt'!$D$8="JA"), (G533*(('Lån Översikt'!$C$7/100*'Lån Översikt'!$C$11/100)-'Lån Översikt'!$C$8/100))/12, IF(AND('Lån Översikt'!$D$7="JA", 'Lån Översikt'!$D$11="JA", 'Lån Översikt'!$D$8="NEJ"), (G533*(('Lån Översikt'!$C$7/100*'Lån Översikt'!$C$11/100))/12), 0)))
</f>
        <v>4784</v>
      </c>
      <c r="I533" s="8">
        <f t="shared" si="2"/>
        <v>4712</v>
      </c>
      <c r="J533" s="8">
        <f>IF(AND(P533, O533), 0, IF(O533, INT((('Lån Översikt'!$C$5 * 1 / 100) / 12)), INT((('Lån Översikt'!$C$5 * 'Lån Översikt'!$C$15 / 100) / 12))))
</f>
        <v>0</v>
      </c>
      <c r="K533" s="8">
        <f t="shared" si="3"/>
        <v>4166</v>
      </c>
      <c r="L533" s="8">
        <f t="shared" si="4"/>
        <v>13662</v>
      </c>
      <c r="M533" s="8">
        <f>(L533 + 'Lån Översikt'!$D$50)</f>
        <v>35611</v>
      </c>
      <c r="N533" s="8">
        <f>IF('Lån Översikt'!$D$22 = "JA", 
    IF(Q533 = TRUE, 'Lån Översikt'!$D$24 - M533, 'Lån Översikt'!$D$24 - M533 + 18300), 
    'Lån Översikt'!$D$24 - M533)
</f>
        <v>14189</v>
      </c>
      <c r="O533" s="25" t="b">
        <f t="shared" si="5"/>
        <v>1</v>
      </c>
      <c r="P533" s="26" t="b">
        <f t="shared" si="6"/>
        <v>1</v>
      </c>
      <c r="Q533" s="27" t="b">
        <f t="shared" si="8"/>
        <v>0</v>
      </c>
    </row>
    <row r="534">
      <c r="F534" s="8">
        <v>531.0</v>
      </c>
      <c r="G534" s="11">
        <f t="shared" si="1"/>
        <v>1871875</v>
      </c>
      <c r="H534" s="9">
        <f>INT(IF(AND('Lån Översikt'!$D$7="JA", 'Lån Översikt'!$D$11="JA", 'Lån Översikt'!$D$8="JA"), (G534*(('Lån Översikt'!$C$7/100*'Lån Översikt'!$C$11/100)-'Lån Översikt'!$C$8/100))/12, IF(AND('Lån Översikt'!$D$7="JA", 'Lån Översikt'!$D$11="JA", 'Lån Översikt'!$D$8="NEJ"), (G534*(('Lån Översikt'!$C$7/100*'Lån Översikt'!$C$11/100))/12), 0)))
</f>
        <v>4784</v>
      </c>
      <c r="I534" s="8">
        <f t="shared" si="2"/>
        <v>4712</v>
      </c>
      <c r="J534" s="8">
        <f>IF(AND(P534, O534), 0, IF(O534, INT((('Lån Översikt'!$C$5 * 1 / 100) / 12)), INT((('Lån Översikt'!$C$5 * 'Lån Översikt'!$C$15 / 100) / 12))))
</f>
        <v>0</v>
      </c>
      <c r="K534" s="8">
        <f t="shared" si="3"/>
        <v>4166</v>
      </c>
      <c r="L534" s="8">
        <f t="shared" si="4"/>
        <v>13662</v>
      </c>
      <c r="M534" s="8">
        <f>(L534 + 'Lån Översikt'!$D$50)</f>
        <v>35611</v>
      </c>
      <c r="N534" s="8">
        <f>IF('Lån Översikt'!$D$22 = "JA", 
    IF(Q534 = TRUE, 'Lån Översikt'!$D$24 - M534, 'Lån Översikt'!$D$24 - M534 + 18300), 
    'Lån Översikt'!$D$24 - M534)
</f>
        <v>14189</v>
      </c>
      <c r="O534" s="25" t="b">
        <f t="shared" si="5"/>
        <v>1</v>
      </c>
      <c r="P534" s="26" t="b">
        <f t="shared" si="6"/>
        <v>1</v>
      </c>
      <c r="Q534" s="27" t="b">
        <f t="shared" si="8"/>
        <v>0</v>
      </c>
    </row>
    <row r="535">
      <c r="F535" s="8">
        <v>532.0</v>
      </c>
      <c r="G535" s="11">
        <f t="shared" si="1"/>
        <v>1871875</v>
      </c>
      <c r="H535" s="9">
        <f>INT(IF(AND('Lån Översikt'!$D$7="JA", 'Lån Översikt'!$D$11="JA", 'Lån Översikt'!$D$8="JA"), (G535*(('Lån Översikt'!$C$7/100*'Lån Översikt'!$C$11/100)-'Lån Översikt'!$C$8/100))/12, IF(AND('Lån Översikt'!$D$7="JA", 'Lån Översikt'!$D$11="JA", 'Lån Översikt'!$D$8="NEJ"), (G535*(('Lån Översikt'!$C$7/100*'Lån Översikt'!$C$11/100))/12), 0)))
</f>
        <v>4784</v>
      </c>
      <c r="I535" s="8">
        <f t="shared" si="2"/>
        <v>4712</v>
      </c>
      <c r="J535" s="8">
        <f>IF(AND(P535, O535), 0, IF(O535, INT((('Lån Översikt'!$C$5 * 1 / 100) / 12)), INT((('Lån Översikt'!$C$5 * 'Lån Översikt'!$C$15 / 100) / 12))))
</f>
        <v>0</v>
      </c>
      <c r="K535" s="8">
        <f t="shared" si="3"/>
        <v>4166</v>
      </c>
      <c r="L535" s="8">
        <f t="shared" si="4"/>
        <v>13662</v>
      </c>
      <c r="M535" s="8">
        <f>(L535 + 'Lån Översikt'!$D$50)</f>
        <v>35611</v>
      </c>
      <c r="N535" s="8">
        <f>IF('Lån Översikt'!$D$22 = "JA", 
    IF(Q535 = TRUE, 'Lån Översikt'!$D$24 - M535, 'Lån Översikt'!$D$24 - M535 + 18300), 
    'Lån Översikt'!$D$24 - M535)
</f>
        <v>14189</v>
      </c>
      <c r="O535" s="25" t="b">
        <f t="shared" si="5"/>
        <v>1</v>
      </c>
      <c r="P535" s="26" t="b">
        <f t="shared" si="6"/>
        <v>1</v>
      </c>
      <c r="Q535" s="27" t="b">
        <f t="shared" si="8"/>
        <v>0</v>
      </c>
    </row>
    <row r="536">
      <c r="F536" s="8">
        <v>533.0</v>
      </c>
      <c r="G536" s="11">
        <f t="shared" si="1"/>
        <v>1871875</v>
      </c>
      <c r="H536" s="9">
        <f>INT(IF(AND('Lån Översikt'!$D$7="JA", 'Lån Översikt'!$D$11="JA", 'Lån Översikt'!$D$8="JA"), (G536*(('Lån Översikt'!$C$7/100*'Lån Översikt'!$C$11/100)-'Lån Översikt'!$C$8/100))/12, IF(AND('Lån Översikt'!$D$7="JA", 'Lån Översikt'!$D$11="JA", 'Lån Översikt'!$D$8="NEJ"), (G536*(('Lån Översikt'!$C$7/100*'Lån Översikt'!$C$11/100))/12), 0)))
</f>
        <v>4784</v>
      </c>
      <c r="I536" s="8">
        <f t="shared" si="2"/>
        <v>4712</v>
      </c>
      <c r="J536" s="8">
        <f>IF(AND(P536, O536), 0, IF(O536, INT((('Lån Översikt'!$C$5 * 1 / 100) / 12)), INT((('Lån Översikt'!$C$5 * 'Lån Översikt'!$C$15 / 100) / 12))))
</f>
        <v>0</v>
      </c>
      <c r="K536" s="8">
        <f t="shared" si="3"/>
        <v>4166</v>
      </c>
      <c r="L536" s="8">
        <f t="shared" si="4"/>
        <v>13662</v>
      </c>
      <c r="M536" s="8">
        <f>(L536 + 'Lån Översikt'!$D$50)</f>
        <v>35611</v>
      </c>
      <c r="N536" s="8">
        <f>IF('Lån Översikt'!$D$22 = "JA", 
    IF(Q536 = TRUE, 'Lån Översikt'!$D$24 - M536, 'Lån Översikt'!$D$24 - M536 + 18300), 
    'Lån Översikt'!$D$24 - M536)
</f>
        <v>14189</v>
      </c>
      <c r="O536" s="25" t="b">
        <f t="shared" si="5"/>
        <v>1</v>
      </c>
      <c r="P536" s="26" t="b">
        <f t="shared" si="6"/>
        <v>1</v>
      </c>
      <c r="Q536" s="27" t="b">
        <f t="shared" si="8"/>
        <v>0</v>
      </c>
    </row>
    <row r="537">
      <c r="F537" s="8">
        <v>534.0</v>
      </c>
      <c r="G537" s="11">
        <f t="shared" si="1"/>
        <v>1871875</v>
      </c>
      <c r="H537" s="9">
        <f>INT(IF(AND('Lån Översikt'!$D$7="JA", 'Lån Översikt'!$D$11="JA", 'Lån Översikt'!$D$8="JA"), (G537*(('Lån Översikt'!$C$7/100*'Lån Översikt'!$C$11/100)-'Lån Översikt'!$C$8/100))/12, IF(AND('Lån Översikt'!$D$7="JA", 'Lån Översikt'!$D$11="JA", 'Lån Översikt'!$D$8="NEJ"), (G537*(('Lån Översikt'!$C$7/100*'Lån Översikt'!$C$11/100))/12), 0)))
</f>
        <v>4784</v>
      </c>
      <c r="I537" s="8">
        <f t="shared" si="2"/>
        <v>4712</v>
      </c>
      <c r="J537" s="8">
        <f>IF(AND(P537, O537), 0, IF(O537, INT((('Lån Översikt'!$C$5 * 1 / 100) / 12)), INT((('Lån Översikt'!$C$5 * 'Lån Översikt'!$C$15 / 100) / 12))))
</f>
        <v>0</v>
      </c>
      <c r="K537" s="8">
        <f t="shared" si="3"/>
        <v>4166</v>
      </c>
      <c r="L537" s="8">
        <f t="shared" si="4"/>
        <v>13662</v>
      </c>
      <c r="M537" s="8">
        <f>(L537 + 'Lån Översikt'!$D$50)</f>
        <v>35611</v>
      </c>
      <c r="N537" s="8">
        <f>IF('Lån Översikt'!$D$22 = "JA", 
    IF(Q537 = TRUE, 'Lån Översikt'!$D$24 - M537, 'Lån Översikt'!$D$24 - M537 + 18300), 
    'Lån Översikt'!$D$24 - M537)
</f>
        <v>14189</v>
      </c>
      <c r="O537" s="25" t="b">
        <f t="shared" si="5"/>
        <v>1</v>
      </c>
      <c r="P537" s="26" t="b">
        <f t="shared" si="6"/>
        <v>1</v>
      </c>
      <c r="Q537" s="27" t="b">
        <f t="shared" si="8"/>
        <v>0</v>
      </c>
    </row>
    <row r="538">
      <c r="F538" s="8">
        <v>535.0</v>
      </c>
      <c r="G538" s="11">
        <f t="shared" si="1"/>
        <v>1871875</v>
      </c>
      <c r="H538" s="9">
        <f>INT(IF(AND('Lån Översikt'!$D$7="JA", 'Lån Översikt'!$D$11="JA", 'Lån Översikt'!$D$8="JA"), (G538*(('Lån Översikt'!$C$7/100*'Lån Översikt'!$C$11/100)-'Lån Översikt'!$C$8/100))/12, IF(AND('Lån Översikt'!$D$7="JA", 'Lån Översikt'!$D$11="JA", 'Lån Översikt'!$D$8="NEJ"), (G538*(('Lån Översikt'!$C$7/100*'Lån Översikt'!$C$11/100))/12), 0)))
</f>
        <v>4784</v>
      </c>
      <c r="I538" s="8">
        <f t="shared" si="2"/>
        <v>4712</v>
      </c>
      <c r="J538" s="8">
        <f>IF(AND(P538, O538), 0, IF(O538, INT((('Lån Översikt'!$C$5 * 1 / 100) / 12)), INT((('Lån Översikt'!$C$5 * 'Lån Översikt'!$C$15 / 100) / 12))))
</f>
        <v>0</v>
      </c>
      <c r="K538" s="8">
        <f t="shared" si="3"/>
        <v>4166</v>
      </c>
      <c r="L538" s="8">
        <f t="shared" si="4"/>
        <v>13662</v>
      </c>
      <c r="M538" s="8">
        <f>(L538 + 'Lån Översikt'!$D$50)</f>
        <v>35611</v>
      </c>
      <c r="N538" s="8">
        <f>IF('Lån Översikt'!$D$22 = "JA", 
    IF(Q538 = TRUE, 'Lån Översikt'!$D$24 - M538, 'Lån Översikt'!$D$24 - M538 + 18300), 
    'Lån Översikt'!$D$24 - M538)
</f>
        <v>14189</v>
      </c>
      <c r="O538" s="25" t="b">
        <f t="shared" si="5"/>
        <v>1</v>
      </c>
      <c r="P538" s="26" t="b">
        <f t="shared" si="6"/>
        <v>1</v>
      </c>
      <c r="Q538" s="27" t="b">
        <f t="shared" si="8"/>
        <v>0</v>
      </c>
    </row>
    <row r="539">
      <c r="F539" s="8">
        <v>536.0</v>
      </c>
      <c r="G539" s="11">
        <f t="shared" si="1"/>
        <v>1871875</v>
      </c>
      <c r="H539" s="9">
        <f>INT(IF(AND('Lån Översikt'!$D$7="JA", 'Lån Översikt'!$D$11="JA", 'Lån Översikt'!$D$8="JA"), (G539*(('Lån Översikt'!$C$7/100*'Lån Översikt'!$C$11/100)-'Lån Översikt'!$C$8/100))/12, IF(AND('Lån Översikt'!$D$7="JA", 'Lån Översikt'!$D$11="JA", 'Lån Översikt'!$D$8="NEJ"), (G539*(('Lån Översikt'!$C$7/100*'Lån Översikt'!$C$11/100))/12), 0)))
</f>
        <v>4784</v>
      </c>
      <c r="I539" s="8">
        <f t="shared" si="2"/>
        <v>4712</v>
      </c>
      <c r="J539" s="8">
        <f>IF(AND(P539, O539), 0, IF(O539, INT((('Lån Översikt'!$C$5 * 1 / 100) / 12)), INT((('Lån Översikt'!$C$5 * 'Lån Översikt'!$C$15 / 100) / 12))))
</f>
        <v>0</v>
      </c>
      <c r="K539" s="8">
        <f t="shared" si="3"/>
        <v>4166</v>
      </c>
      <c r="L539" s="8">
        <f t="shared" si="4"/>
        <v>13662</v>
      </c>
      <c r="M539" s="8">
        <f>(L539 + 'Lån Översikt'!$D$50)</f>
        <v>35611</v>
      </c>
      <c r="N539" s="8">
        <f>IF('Lån Översikt'!$D$22 = "JA", 
    IF(Q539 = TRUE, 'Lån Översikt'!$D$24 - M539, 'Lån Översikt'!$D$24 - M539 + 18300), 
    'Lån Översikt'!$D$24 - M539)
</f>
        <v>14189</v>
      </c>
      <c r="O539" s="25" t="b">
        <f t="shared" si="5"/>
        <v>1</v>
      </c>
      <c r="P539" s="26" t="b">
        <f t="shared" si="6"/>
        <v>1</v>
      </c>
      <c r="Q539" s="27" t="b">
        <f t="shared" si="8"/>
        <v>0</v>
      </c>
    </row>
    <row r="540">
      <c r="F540" s="8">
        <v>537.0</v>
      </c>
      <c r="G540" s="11">
        <f t="shared" si="1"/>
        <v>1871875</v>
      </c>
      <c r="H540" s="9">
        <f>INT(IF(AND('Lån Översikt'!$D$7="JA", 'Lån Översikt'!$D$11="JA", 'Lån Översikt'!$D$8="JA"), (G540*(('Lån Översikt'!$C$7/100*'Lån Översikt'!$C$11/100)-'Lån Översikt'!$C$8/100))/12, IF(AND('Lån Översikt'!$D$7="JA", 'Lån Översikt'!$D$11="JA", 'Lån Översikt'!$D$8="NEJ"), (G540*(('Lån Översikt'!$C$7/100*'Lån Översikt'!$C$11/100))/12), 0)))
</f>
        <v>4784</v>
      </c>
      <c r="I540" s="8">
        <f t="shared" si="2"/>
        <v>4712</v>
      </c>
      <c r="J540" s="8">
        <f>IF(AND(P540, O540), 0, IF(O540, INT((('Lån Översikt'!$C$5 * 1 / 100) / 12)), INT((('Lån Översikt'!$C$5 * 'Lån Översikt'!$C$15 / 100) / 12))))
</f>
        <v>0</v>
      </c>
      <c r="K540" s="8">
        <f t="shared" si="3"/>
        <v>4166</v>
      </c>
      <c r="L540" s="8">
        <f t="shared" si="4"/>
        <v>13662</v>
      </c>
      <c r="M540" s="8">
        <f>(L540 + 'Lån Översikt'!$D$50)</f>
        <v>35611</v>
      </c>
      <c r="N540" s="8">
        <f>IF('Lån Översikt'!$D$22 = "JA", 
    IF(Q540 = TRUE, 'Lån Översikt'!$D$24 - M540, 'Lån Översikt'!$D$24 - M540 + 18300), 
    'Lån Översikt'!$D$24 - M540)
</f>
        <v>14189</v>
      </c>
      <c r="O540" s="25" t="b">
        <f t="shared" si="5"/>
        <v>1</v>
      </c>
      <c r="P540" s="26" t="b">
        <f t="shared" si="6"/>
        <v>1</v>
      </c>
      <c r="Q540" s="27" t="b">
        <f t="shared" si="8"/>
        <v>0</v>
      </c>
    </row>
    <row r="541">
      <c r="F541" s="8">
        <v>538.0</v>
      </c>
      <c r="G541" s="11">
        <f t="shared" si="1"/>
        <v>1871875</v>
      </c>
      <c r="H541" s="9">
        <f>INT(IF(AND('Lån Översikt'!$D$7="JA", 'Lån Översikt'!$D$11="JA", 'Lån Översikt'!$D$8="JA"), (G541*(('Lån Översikt'!$C$7/100*'Lån Översikt'!$C$11/100)-'Lån Översikt'!$C$8/100))/12, IF(AND('Lån Översikt'!$D$7="JA", 'Lån Översikt'!$D$11="JA", 'Lån Översikt'!$D$8="NEJ"), (G541*(('Lån Översikt'!$C$7/100*'Lån Översikt'!$C$11/100))/12), 0)))
</f>
        <v>4784</v>
      </c>
      <c r="I541" s="8">
        <f t="shared" si="2"/>
        <v>4712</v>
      </c>
      <c r="J541" s="8">
        <f>IF(AND(P541, O541), 0, IF(O541, INT((('Lån Översikt'!$C$5 * 1 / 100) / 12)), INT((('Lån Översikt'!$C$5 * 'Lån Översikt'!$C$15 / 100) / 12))))
</f>
        <v>0</v>
      </c>
      <c r="K541" s="8">
        <f t="shared" si="3"/>
        <v>4166</v>
      </c>
      <c r="L541" s="8">
        <f t="shared" si="4"/>
        <v>13662</v>
      </c>
      <c r="M541" s="8">
        <f>(L541 + 'Lån Översikt'!$D$50)</f>
        <v>35611</v>
      </c>
      <c r="N541" s="8">
        <f>IF('Lån Översikt'!$D$22 = "JA", 
    IF(Q541 = TRUE, 'Lån Översikt'!$D$24 - M541, 'Lån Översikt'!$D$24 - M541 + 18300), 
    'Lån Översikt'!$D$24 - M541)
</f>
        <v>14189</v>
      </c>
      <c r="O541" s="25" t="b">
        <f t="shared" si="5"/>
        <v>1</v>
      </c>
      <c r="P541" s="26" t="b">
        <f t="shared" si="6"/>
        <v>1</v>
      </c>
      <c r="Q541" s="27" t="b">
        <f t="shared" si="8"/>
        <v>0</v>
      </c>
    </row>
    <row r="542">
      <c r="F542" s="8">
        <v>539.0</v>
      </c>
      <c r="G542" s="11">
        <f t="shared" si="1"/>
        <v>1871875</v>
      </c>
      <c r="H542" s="9">
        <f>INT(IF(AND('Lån Översikt'!$D$7="JA", 'Lån Översikt'!$D$11="JA", 'Lån Översikt'!$D$8="JA"), (G542*(('Lån Översikt'!$C$7/100*'Lån Översikt'!$C$11/100)-'Lån Översikt'!$C$8/100))/12, IF(AND('Lån Översikt'!$D$7="JA", 'Lån Översikt'!$D$11="JA", 'Lån Översikt'!$D$8="NEJ"), (G542*(('Lån Översikt'!$C$7/100*'Lån Översikt'!$C$11/100))/12), 0)))
</f>
        <v>4784</v>
      </c>
      <c r="I542" s="8">
        <f t="shared" si="2"/>
        <v>4712</v>
      </c>
      <c r="J542" s="8">
        <f>IF(AND(P542, O542), 0, IF(O542, INT((('Lån Översikt'!$C$5 * 1 / 100) / 12)), INT((('Lån Översikt'!$C$5 * 'Lån Översikt'!$C$15 / 100) / 12))))
</f>
        <v>0</v>
      </c>
      <c r="K542" s="8">
        <f t="shared" si="3"/>
        <v>4166</v>
      </c>
      <c r="L542" s="8">
        <f t="shared" si="4"/>
        <v>13662</v>
      </c>
      <c r="M542" s="8">
        <f>(L542 + 'Lån Översikt'!$D$50)</f>
        <v>35611</v>
      </c>
      <c r="N542" s="8">
        <f>IF('Lån Översikt'!$D$22 = "JA", 
    IF(Q542 = TRUE, 'Lån Översikt'!$D$24 - M542, 'Lån Översikt'!$D$24 - M542 + 18300), 
    'Lån Översikt'!$D$24 - M542)
</f>
        <v>14189</v>
      </c>
      <c r="O542" s="25" t="b">
        <f t="shared" si="5"/>
        <v>1</v>
      </c>
      <c r="P542" s="26" t="b">
        <f t="shared" si="6"/>
        <v>1</v>
      </c>
      <c r="Q542" s="27" t="b">
        <f t="shared" si="8"/>
        <v>0</v>
      </c>
    </row>
    <row r="543">
      <c r="F543" s="8">
        <v>540.0</v>
      </c>
      <c r="G543" s="11">
        <f t="shared" si="1"/>
        <v>1871875</v>
      </c>
      <c r="H543" s="9">
        <f>INT(IF(AND('Lån Översikt'!$D$7="JA", 'Lån Översikt'!$D$11="JA", 'Lån Översikt'!$D$8="JA"), (G543*(('Lån Översikt'!$C$7/100*'Lån Översikt'!$C$11/100)-'Lån Översikt'!$C$8/100))/12, IF(AND('Lån Översikt'!$D$7="JA", 'Lån Översikt'!$D$11="JA", 'Lån Översikt'!$D$8="NEJ"), (G543*(('Lån Översikt'!$C$7/100*'Lån Översikt'!$C$11/100))/12), 0)))
</f>
        <v>4784</v>
      </c>
      <c r="I543" s="8">
        <f t="shared" si="2"/>
        <v>4712</v>
      </c>
      <c r="J543" s="8">
        <f>IF(AND(P543, O543), 0, IF(O543, INT((('Lån Översikt'!$C$5 * 1 / 100) / 12)), INT((('Lån Översikt'!$C$5 * 'Lån Översikt'!$C$15 / 100) / 12))))
</f>
        <v>0</v>
      </c>
      <c r="K543" s="8">
        <f t="shared" si="3"/>
        <v>4166</v>
      </c>
      <c r="L543" s="8">
        <f t="shared" si="4"/>
        <v>13662</v>
      </c>
      <c r="M543" s="8">
        <f>(L543 + 'Lån Översikt'!$D$50)</f>
        <v>35611</v>
      </c>
      <c r="N543" s="8">
        <f>IF('Lån Översikt'!$D$22 = "JA", 
    IF(Q543 = TRUE, 'Lån Översikt'!$D$24 - M543, 'Lån Översikt'!$D$24 - M543 + 18300), 
    'Lån Översikt'!$D$24 - M543)
</f>
        <v>14189</v>
      </c>
      <c r="O543" s="25" t="b">
        <f t="shared" si="5"/>
        <v>1</v>
      </c>
      <c r="P543" s="26" t="b">
        <f t="shared" si="6"/>
        <v>1</v>
      </c>
      <c r="Q543" s="27" t="b">
        <f t="shared" si="8"/>
        <v>0</v>
      </c>
    </row>
    <row r="544">
      <c r="F544" s="8">
        <v>541.0</v>
      </c>
      <c r="G544" s="11">
        <f t="shared" si="1"/>
        <v>1871875</v>
      </c>
      <c r="H544" s="9">
        <f>INT(IF(AND('Lån Översikt'!$D$7="JA", 'Lån Översikt'!$D$11="JA", 'Lån Översikt'!$D$8="JA"), (G544*(('Lån Översikt'!$C$7/100*'Lån Översikt'!$C$11/100)-'Lån Översikt'!$C$8/100))/12, IF(AND('Lån Översikt'!$D$7="JA", 'Lån Översikt'!$D$11="JA", 'Lån Översikt'!$D$8="NEJ"), (G544*(('Lån Översikt'!$C$7/100*'Lån Översikt'!$C$11/100))/12), 0)))
</f>
        <v>4784</v>
      </c>
      <c r="I544" s="8">
        <f t="shared" si="2"/>
        <v>4712</v>
      </c>
      <c r="J544" s="8">
        <f>IF(AND(P544, O544), 0, IF(O544, INT((('Lån Översikt'!$C$5 * 1 / 100) / 12)), INT((('Lån Översikt'!$C$5 * 'Lån Översikt'!$C$15 / 100) / 12))))
</f>
        <v>0</v>
      </c>
      <c r="K544" s="8">
        <f t="shared" si="3"/>
        <v>4166</v>
      </c>
      <c r="L544" s="8">
        <f t="shared" si="4"/>
        <v>13662</v>
      </c>
      <c r="M544" s="8">
        <f>(L544 + 'Lån Översikt'!$D$50)</f>
        <v>35611</v>
      </c>
      <c r="N544" s="8">
        <f>IF('Lån Översikt'!$D$22 = "JA", 
    IF(Q544 = TRUE, 'Lån Översikt'!$D$24 - M544, 'Lån Översikt'!$D$24 - M544 + 18300), 
    'Lån Översikt'!$D$24 - M544)
</f>
        <v>14189</v>
      </c>
      <c r="O544" s="25" t="b">
        <f t="shared" si="5"/>
        <v>1</v>
      </c>
      <c r="P544" s="26" t="b">
        <f t="shared" si="6"/>
        <v>1</v>
      </c>
      <c r="Q544" s="27" t="b">
        <f t="shared" si="8"/>
        <v>0</v>
      </c>
    </row>
    <row r="545">
      <c r="F545" s="8">
        <v>542.0</v>
      </c>
      <c r="G545" s="11">
        <f t="shared" si="1"/>
        <v>1871875</v>
      </c>
      <c r="H545" s="9">
        <f>INT(IF(AND('Lån Översikt'!$D$7="JA", 'Lån Översikt'!$D$11="JA", 'Lån Översikt'!$D$8="JA"), (G545*(('Lån Översikt'!$C$7/100*'Lån Översikt'!$C$11/100)-'Lån Översikt'!$C$8/100))/12, IF(AND('Lån Översikt'!$D$7="JA", 'Lån Översikt'!$D$11="JA", 'Lån Översikt'!$D$8="NEJ"), (G545*(('Lån Översikt'!$C$7/100*'Lån Översikt'!$C$11/100))/12), 0)))
</f>
        <v>4784</v>
      </c>
      <c r="I545" s="8">
        <f t="shared" si="2"/>
        <v>4712</v>
      </c>
      <c r="J545" s="8">
        <f>IF(AND(P545, O545), 0, IF(O545, INT((('Lån Översikt'!$C$5 * 1 / 100) / 12)), INT((('Lån Översikt'!$C$5 * 'Lån Översikt'!$C$15 / 100) / 12))))
</f>
        <v>0</v>
      </c>
      <c r="K545" s="8">
        <f t="shared" si="3"/>
        <v>4166</v>
      </c>
      <c r="L545" s="8">
        <f t="shared" si="4"/>
        <v>13662</v>
      </c>
      <c r="M545" s="8">
        <f>(L545 + 'Lån Översikt'!$D$50)</f>
        <v>35611</v>
      </c>
      <c r="N545" s="8">
        <f>IF('Lån Översikt'!$D$22 = "JA", 
    IF(Q545 = TRUE, 'Lån Översikt'!$D$24 - M545, 'Lån Översikt'!$D$24 - M545 + 18300), 
    'Lån Översikt'!$D$24 - M545)
</f>
        <v>14189</v>
      </c>
      <c r="O545" s="25" t="b">
        <f t="shared" si="5"/>
        <v>1</v>
      </c>
      <c r="P545" s="26" t="b">
        <f t="shared" si="6"/>
        <v>1</v>
      </c>
      <c r="Q545" s="27" t="b">
        <f t="shared" si="8"/>
        <v>0</v>
      </c>
    </row>
    <row r="546">
      <c r="F546" s="8">
        <v>543.0</v>
      </c>
      <c r="G546" s="11">
        <f t="shared" si="1"/>
        <v>1871875</v>
      </c>
      <c r="H546" s="9">
        <f>INT(IF(AND('Lån Översikt'!$D$7="JA", 'Lån Översikt'!$D$11="JA", 'Lån Översikt'!$D$8="JA"), (G546*(('Lån Översikt'!$C$7/100*'Lån Översikt'!$C$11/100)-'Lån Översikt'!$C$8/100))/12, IF(AND('Lån Översikt'!$D$7="JA", 'Lån Översikt'!$D$11="JA", 'Lån Översikt'!$D$8="NEJ"), (G546*(('Lån Översikt'!$C$7/100*'Lån Översikt'!$C$11/100))/12), 0)))
</f>
        <v>4784</v>
      </c>
      <c r="I546" s="8">
        <f t="shared" si="2"/>
        <v>4712</v>
      </c>
      <c r="J546" s="8">
        <f>IF(AND(P546, O546), 0, IF(O546, INT((('Lån Översikt'!$C$5 * 1 / 100) / 12)), INT((('Lån Översikt'!$C$5 * 'Lån Översikt'!$C$15 / 100) / 12))))
</f>
        <v>0</v>
      </c>
      <c r="K546" s="8">
        <f t="shared" si="3"/>
        <v>4166</v>
      </c>
      <c r="L546" s="8">
        <f t="shared" si="4"/>
        <v>13662</v>
      </c>
      <c r="M546" s="8">
        <f>(L546 + 'Lån Översikt'!$D$50)</f>
        <v>35611</v>
      </c>
      <c r="N546" s="8">
        <f>IF('Lån Översikt'!$D$22 = "JA", 
    IF(Q546 = TRUE, 'Lån Översikt'!$D$24 - M546, 'Lån Översikt'!$D$24 - M546 + 18300), 
    'Lån Översikt'!$D$24 - M546)
</f>
        <v>14189</v>
      </c>
      <c r="O546" s="25" t="b">
        <f t="shared" si="5"/>
        <v>1</v>
      </c>
      <c r="P546" s="26" t="b">
        <f t="shared" si="6"/>
        <v>1</v>
      </c>
      <c r="Q546" s="27" t="b">
        <f t="shared" si="8"/>
        <v>0</v>
      </c>
    </row>
    <row r="547">
      <c r="F547" s="8">
        <v>544.0</v>
      </c>
      <c r="G547" s="11">
        <f t="shared" si="1"/>
        <v>1871875</v>
      </c>
      <c r="H547" s="9">
        <f>INT(IF(AND('Lån Översikt'!$D$7="JA", 'Lån Översikt'!$D$11="JA", 'Lån Översikt'!$D$8="JA"), (G547*(('Lån Översikt'!$C$7/100*'Lån Översikt'!$C$11/100)-'Lån Översikt'!$C$8/100))/12, IF(AND('Lån Översikt'!$D$7="JA", 'Lån Översikt'!$D$11="JA", 'Lån Översikt'!$D$8="NEJ"), (G547*(('Lån Översikt'!$C$7/100*'Lån Översikt'!$C$11/100))/12), 0)))
</f>
        <v>4784</v>
      </c>
      <c r="I547" s="8">
        <f t="shared" si="2"/>
        <v>4712</v>
      </c>
      <c r="J547" s="8">
        <f>IF(AND(P547, O547), 0, IF(O547, INT((('Lån Översikt'!$C$5 * 1 / 100) / 12)), INT((('Lån Översikt'!$C$5 * 'Lån Översikt'!$C$15 / 100) / 12))))
</f>
        <v>0</v>
      </c>
      <c r="K547" s="8">
        <f t="shared" si="3"/>
        <v>4166</v>
      </c>
      <c r="L547" s="8">
        <f t="shared" si="4"/>
        <v>13662</v>
      </c>
      <c r="M547" s="8">
        <f>(L547 + 'Lån Översikt'!$D$50)</f>
        <v>35611</v>
      </c>
      <c r="N547" s="8">
        <f>IF('Lån Översikt'!$D$22 = "JA", 
    IF(Q547 = TRUE, 'Lån Översikt'!$D$24 - M547, 'Lån Översikt'!$D$24 - M547 + 18300), 
    'Lån Översikt'!$D$24 - M547)
</f>
        <v>14189</v>
      </c>
      <c r="O547" s="25" t="b">
        <f t="shared" si="5"/>
        <v>1</v>
      </c>
      <c r="P547" s="26" t="b">
        <f t="shared" si="6"/>
        <v>1</v>
      </c>
      <c r="Q547" s="27" t="b">
        <f t="shared" si="8"/>
        <v>0</v>
      </c>
    </row>
    <row r="548">
      <c r="F548" s="8">
        <v>545.0</v>
      </c>
      <c r="G548" s="11">
        <f t="shared" si="1"/>
        <v>1871875</v>
      </c>
      <c r="H548" s="9">
        <f>INT(IF(AND('Lån Översikt'!$D$7="JA", 'Lån Översikt'!$D$11="JA", 'Lån Översikt'!$D$8="JA"), (G548*(('Lån Översikt'!$C$7/100*'Lån Översikt'!$C$11/100)-'Lån Översikt'!$C$8/100))/12, IF(AND('Lån Översikt'!$D$7="JA", 'Lån Översikt'!$D$11="JA", 'Lån Översikt'!$D$8="NEJ"), (G548*(('Lån Översikt'!$C$7/100*'Lån Översikt'!$C$11/100))/12), 0)))
</f>
        <v>4784</v>
      </c>
      <c r="I548" s="8">
        <f t="shared" si="2"/>
        <v>4712</v>
      </c>
      <c r="J548" s="8">
        <f>IF(AND(P548, O548), 0, IF(O548, INT((('Lån Översikt'!$C$5 * 1 / 100) / 12)), INT((('Lån Översikt'!$C$5 * 'Lån Översikt'!$C$15 / 100) / 12))))
</f>
        <v>0</v>
      </c>
      <c r="K548" s="8">
        <f t="shared" si="3"/>
        <v>4166</v>
      </c>
      <c r="L548" s="8">
        <f t="shared" si="4"/>
        <v>13662</v>
      </c>
      <c r="M548" s="8">
        <f>(L548 + 'Lån Översikt'!$D$50)</f>
        <v>35611</v>
      </c>
      <c r="N548" s="8">
        <f>IF('Lån Översikt'!$D$22 = "JA", 
    IF(Q548 = TRUE, 'Lån Översikt'!$D$24 - M548, 'Lån Översikt'!$D$24 - M548 + 18300), 
    'Lån Översikt'!$D$24 - M548)
</f>
        <v>14189</v>
      </c>
      <c r="O548" s="25" t="b">
        <f t="shared" si="5"/>
        <v>1</v>
      </c>
      <c r="P548" s="26" t="b">
        <f t="shared" si="6"/>
        <v>1</v>
      </c>
      <c r="Q548" s="27" t="b">
        <f t="shared" si="8"/>
        <v>0</v>
      </c>
    </row>
    <row r="549">
      <c r="F549" s="8">
        <v>546.0</v>
      </c>
      <c r="G549" s="11">
        <f t="shared" si="1"/>
        <v>1871875</v>
      </c>
      <c r="H549" s="9">
        <f>INT(IF(AND('Lån Översikt'!$D$7="JA", 'Lån Översikt'!$D$11="JA", 'Lån Översikt'!$D$8="JA"), (G549*(('Lån Översikt'!$C$7/100*'Lån Översikt'!$C$11/100)-'Lån Översikt'!$C$8/100))/12, IF(AND('Lån Översikt'!$D$7="JA", 'Lån Översikt'!$D$11="JA", 'Lån Översikt'!$D$8="NEJ"), (G549*(('Lån Översikt'!$C$7/100*'Lån Översikt'!$C$11/100))/12), 0)))
</f>
        <v>4784</v>
      </c>
      <c r="I549" s="8">
        <f t="shared" si="2"/>
        <v>4712</v>
      </c>
      <c r="J549" s="8">
        <f>IF(AND(P549, O549), 0, IF(O549, INT((('Lån Översikt'!$C$5 * 1 / 100) / 12)), INT((('Lån Översikt'!$C$5 * 'Lån Översikt'!$C$15 / 100) / 12))))
</f>
        <v>0</v>
      </c>
      <c r="K549" s="8">
        <f t="shared" si="3"/>
        <v>4166</v>
      </c>
      <c r="L549" s="8">
        <f t="shared" si="4"/>
        <v>13662</v>
      </c>
      <c r="M549" s="8">
        <f>(L549 + 'Lån Översikt'!$D$50)</f>
        <v>35611</v>
      </c>
      <c r="N549" s="8">
        <f>IF('Lån Översikt'!$D$22 = "JA", 
    IF(Q549 = TRUE, 'Lån Översikt'!$D$24 - M549, 'Lån Översikt'!$D$24 - M549 + 18300), 
    'Lån Översikt'!$D$24 - M549)
</f>
        <v>14189</v>
      </c>
      <c r="O549" s="25" t="b">
        <f t="shared" si="5"/>
        <v>1</v>
      </c>
      <c r="P549" s="26" t="b">
        <f t="shared" si="6"/>
        <v>1</v>
      </c>
      <c r="Q549" s="27" t="b">
        <f t="shared" si="8"/>
        <v>0</v>
      </c>
    </row>
    <row r="550">
      <c r="F550" s="8">
        <v>547.0</v>
      </c>
      <c r="G550" s="11">
        <f t="shared" si="1"/>
        <v>1871875</v>
      </c>
      <c r="H550" s="9">
        <f>INT(IF(AND('Lån Översikt'!$D$7="JA", 'Lån Översikt'!$D$11="JA", 'Lån Översikt'!$D$8="JA"), (G550*(('Lån Översikt'!$C$7/100*'Lån Översikt'!$C$11/100)-'Lån Översikt'!$C$8/100))/12, IF(AND('Lån Översikt'!$D$7="JA", 'Lån Översikt'!$D$11="JA", 'Lån Översikt'!$D$8="NEJ"), (G550*(('Lån Översikt'!$C$7/100*'Lån Översikt'!$C$11/100))/12), 0)))
</f>
        <v>4784</v>
      </c>
      <c r="I550" s="8">
        <f t="shared" si="2"/>
        <v>4712</v>
      </c>
      <c r="J550" s="8">
        <f>IF(AND(P550, O550), 0, IF(O550, INT((('Lån Översikt'!$C$5 * 1 / 100) / 12)), INT((('Lån Översikt'!$C$5 * 'Lån Översikt'!$C$15 / 100) / 12))))
</f>
        <v>0</v>
      </c>
      <c r="K550" s="8">
        <f t="shared" si="3"/>
        <v>4166</v>
      </c>
      <c r="L550" s="8">
        <f t="shared" si="4"/>
        <v>13662</v>
      </c>
      <c r="M550" s="8">
        <f>(L550 + 'Lån Översikt'!$D$50)</f>
        <v>35611</v>
      </c>
      <c r="N550" s="8">
        <f>IF('Lån Översikt'!$D$22 = "JA", 
    IF(Q550 = TRUE, 'Lån Översikt'!$D$24 - M550, 'Lån Översikt'!$D$24 - M550 + 18300), 
    'Lån Översikt'!$D$24 - M550)
</f>
        <v>14189</v>
      </c>
      <c r="O550" s="25" t="b">
        <f t="shared" si="5"/>
        <v>1</v>
      </c>
      <c r="P550" s="26" t="b">
        <f t="shared" si="6"/>
        <v>1</v>
      </c>
      <c r="Q550" s="27" t="b">
        <f t="shared" si="8"/>
        <v>0</v>
      </c>
    </row>
    <row r="551">
      <c r="F551" s="8">
        <v>548.0</v>
      </c>
      <c r="G551" s="11">
        <f t="shared" si="1"/>
        <v>1871875</v>
      </c>
      <c r="H551" s="9">
        <f>INT(IF(AND('Lån Översikt'!$D$7="JA", 'Lån Översikt'!$D$11="JA", 'Lån Översikt'!$D$8="JA"), (G551*(('Lån Översikt'!$C$7/100*'Lån Översikt'!$C$11/100)-'Lån Översikt'!$C$8/100))/12, IF(AND('Lån Översikt'!$D$7="JA", 'Lån Översikt'!$D$11="JA", 'Lån Översikt'!$D$8="NEJ"), (G551*(('Lån Översikt'!$C$7/100*'Lån Översikt'!$C$11/100))/12), 0)))
</f>
        <v>4784</v>
      </c>
      <c r="I551" s="8">
        <f t="shared" si="2"/>
        <v>4712</v>
      </c>
      <c r="J551" s="8">
        <f>IF(AND(P551, O551), 0, IF(O551, INT((('Lån Översikt'!$C$5 * 1 / 100) / 12)), INT((('Lån Översikt'!$C$5 * 'Lån Översikt'!$C$15 / 100) / 12))))
</f>
        <v>0</v>
      </c>
      <c r="K551" s="8">
        <f t="shared" si="3"/>
        <v>4166</v>
      </c>
      <c r="L551" s="8">
        <f t="shared" si="4"/>
        <v>13662</v>
      </c>
      <c r="M551" s="8">
        <f>(L551 + 'Lån Översikt'!$D$50)</f>
        <v>35611</v>
      </c>
      <c r="N551" s="8">
        <f>IF('Lån Översikt'!$D$22 = "JA", 
    IF(Q551 = TRUE, 'Lån Översikt'!$D$24 - M551, 'Lån Översikt'!$D$24 - M551 + 18300), 
    'Lån Översikt'!$D$24 - M551)
</f>
        <v>14189</v>
      </c>
      <c r="O551" s="25" t="b">
        <f t="shared" si="5"/>
        <v>1</v>
      </c>
      <c r="P551" s="26" t="b">
        <f t="shared" si="6"/>
        <v>1</v>
      </c>
      <c r="Q551" s="27" t="b">
        <f t="shared" si="8"/>
        <v>0</v>
      </c>
    </row>
    <row r="552">
      <c r="F552" s="8">
        <v>549.0</v>
      </c>
      <c r="G552" s="11">
        <f t="shared" si="1"/>
        <v>1871875</v>
      </c>
      <c r="H552" s="9">
        <f>INT(IF(AND('Lån Översikt'!$D$7="JA", 'Lån Översikt'!$D$11="JA", 'Lån Översikt'!$D$8="JA"), (G552*(('Lån Översikt'!$C$7/100*'Lån Översikt'!$C$11/100)-'Lån Översikt'!$C$8/100))/12, IF(AND('Lån Översikt'!$D$7="JA", 'Lån Översikt'!$D$11="JA", 'Lån Översikt'!$D$8="NEJ"), (G552*(('Lån Översikt'!$C$7/100*'Lån Översikt'!$C$11/100))/12), 0)))
</f>
        <v>4784</v>
      </c>
      <c r="I552" s="8">
        <f t="shared" si="2"/>
        <v>4712</v>
      </c>
      <c r="J552" s="8">
        <f>IF(AND(P552, O552), 0, IF(O552, INT((('Lån Översikt'!$C$5 * 1 / 100) / 12)), INT((('Lån Översikt'!$C$5 * 'Lån Översikt'!$C$15 / 100) / 12))))
</f>
        <v>0</v>
      </c>
      <c r="K552" s="8">
        <f t="shared" si="3"/>
        <v>4166</v>
      </c>
      <c r="L552" s="8">
        <f t="shared" si="4"/>
        <v>13662</v>
      </c>
      <c r="M552" s="8">
        <f>(L552 + 'Lån Översikt'!$D$50)</f>
        <v>35611</v>
      </c>
      <c r="N552" s="8">
        <f>IF('Lån Översikt'!$D$22 = "JA", 
    IF(Q552 = TRUE, 'Lån Översikt'!$D$24 - M552, 'Lån Översikt'!$D$24 - M552 + 18300), 
    'Lån Översikt'!$D$24 - M552)
</f>
        <v>14189</v>
      </c>
      <c r="O552" s="25" t="b">
        <f t="shared" si="5"/>
        <v>1</v>
      </c>
      <c r="P552" s="26" t="b">
        <f t="shared" si="6"/>
        <v>1</v>
      </c>
      <c r="Q552" s="27" t="b">
        <f t="shared" si="8"/>
        <v>0</v>
      </c>
    </row>
    <row r="553">
      <c r="F553" s="8">
        <v>550.0</v>
      </c>
      <c r="G553" s="11">
        <f t="shared" si="1"/>
        <v>1871875</v>
      </c>
      <c r="H553" s="9">
        <f>INT(IF(AND('Lån Översikt'!$D$7="JA", 'Lån Översikt'!$D$11="JA", 'Lån Översikt'!$D$8="JA"), (G553*(('Lån Översikt'!$C$7/100*'Lån Översikt'!$C$11/100)-'Lån Översikt'!$C$8/100))/12, IF(AND('Lån Översikt'!$D$7="JA", 'Lån Översikt'!$D$11="JA", 'Lån Översikt'!$D$8="NEJ"), (G553*(('Lån Översikt'!$C$7/100*'Lån Översikt'!$C$11/100))/12), 0)))
</f>
        <v>4784</v>
      </c>
      <c r="I553" s="8">
        <f t="shared" si="2"/>
        <v>4712</v>
      </c>
      <c r="J553" s="8">
        <f>IF(AND(P553, O553), 0, IF(O553, INT((('Lån Översikt'!$C$5 * 1 / 100) / 12)), INT((('Lån Översikt'!$C$5 * 'Lån Översikt'!$C$15 / 100) / 12))))
</f>
        <v>0</v>
      </c>
      <c r="K553" s="8">
        <f t="shared" si="3"/>
        <v>4166</v>
      </c>
      <c r="L553" s="8">
        <f t="shared" si="4"/>
        <v>13662</v>
      </c>
      <c r="M553" s="8">
        <f>(L553 + 'Lån Översikt'!$D$50)</f>
        <v>35611</v>
      </c>
      <c r="N553" s="8">
        <f>IF('Lån Översikt'!$D$22 = "JA", 
    IF(Q553 = TRUE, 'Lån Översikt'!$D$24 - M553, 'Lån Översikt'!$D$24 - M553 + 18300), 
    'Lån Översikt'!$D$24 - M553)
</f>
        <v>14189</v>
      </c>
      <c r="O553" s="25" t="b">
        <f t="shared" si="5"/>
        <v>1</v>
      </c>
      <c r="P553" s="26" t="b">
        <f t="shared" si="6"/>
        <v>1</v>
      </c>
      <c r="Q553" s="27" t="b">
        <f t="shared" si="8"/>
        <v>0</v>
      </c>
    </row>
    <row r="554">
      <c r="F554" s="8">
        <v>551.0</v>
      </c>
      <c r="G554" s="11">
        <f t="shared" si="1"/>
        <v>1871875</v>
      </c>
      <c r="H554" s="9">
        <f>INT(IF(AND('Lån Översikt'!$D$7="JA", 'Lån Översikt'!$D$11="JA", 'Lån Översikt'!$D$8="JA"), (G554*(('Lån Översikt'!$C$7/100*'Lån Översikt'!$C$11/100)-'Lån Översikt'!$C$8/100))/12, IF(AND('Lån Översikt'!$D$7="JA", 'Lån Översikt'!$D$11="JA", 'Lån Översikt'!$D$8="NEJ"), (G554*(('Lån Översikt'!$C$7/100*'Lån Översikt'!$C$11/100))/12), 0)))
</f>
        <v>4784</v>
      </c>
      <c r="I554" s="8">
        <f t="shared" si="2"/>
        <v>4712</v>
      </c>
      <c r="J554" s="8">
        <f>IF(AND(P554, O554), 0, IF(O554, INT((('Lån Översikt'!$C$5 * 1 / 100) / 12)), INT((('Lån Översikt'!$C$5 * 'Lån Översikt'!$C$15 / 100) / 12))))
</f>
        <v>0</v>
      </c>
      <c r="K554" s="8">
        <f t="shared" si="3"/>
        <v>4166</v>
      </c>
      <c r="L554" s="8">
        <f t="shared" si="4"/>
        <v>13662</v>
      </c>
      <c r="M554" s="8">
        <f>(L554 + 'Lån Översikt'!$D$50)</f>
        <v>35611</v>
      </c>
      <c r="N554" s="8">
        <f>IF('Lån Översikt'!$D$22 = "JA", 
    IF(Q554 = TRUE, 'Lån Översikt'!$D$24 - M554, 'Lån Översikt'!$D$24 - M554 + 18300), 
    'Lån Översikt'!$D$24 - M554)
</f>
        <v>14189</v>
      </c>
      <c r="O554" s="25" t="b">
        <f t="shared" si="5"/>
        <v>1</v>
      </c>
      <c r="P554" s="26" t="b">
        <f t="shared" si="6"/>
        <v>1</v>
      </c>
      <c r="Q554" s="27" t="b">
        <f t="shared" si="8"/>
        <v>0</v>
      </c>
    </row>
    <row r="555">
      <c r="F555" s="8">
        <v>552.0</v>
      </c>
      <c r="G555" s="11">
        <f t="shared" si="1"/>
        <v>1871875</v>
      </c>
      <c r="H555" s="9">
        <f>INT(IF(AND('Lån Översikt'!$D$7="JA", 'Lån Översikt'!$D$11="JA", 'Lån Översikt'!$D$8="JA"), (G555*(('Lån Översikt'!$C$7/100*'Lån Översikt'!$C$11/100)-'Lån Översikt'!$C$8/100))/12, IF(AND('Lån Översikt'!$D$7="JA", 'Lån Översikt'!$D$11="JA", 'Lån Översikt'!$D$8="NEJ"), (G555*(('Lån Översikt'!$C$7/100*'Lån Översikt'!$C$11/100))/12), 0)))
</f>
        <v>4784</v>
      </c>
      <c r="I555" s="8">
        <f t="shared" si="2"/>
        <v>4712</v>
      </c>
      <c r="J555" s="8">
        <f>IF(AND(P555, O555), 0, IF(O555, INT((('Lån Översikt'!$C$5 * 1 / 100) / 12)), INT((('Lån Översikt'!$C$5 * 'Lån Översikt'!$C$15 / 100) / 12))))
</f>
        <v>0</v>
      </c>
      <c r="K555" s="8">
        <f t="shared" si="3"/>
        <v>4166</v>
      </c>
      <c r="L555" s="8">
        <f t="shared" si="4"/>
        <v>13662</v>
      </c>
      <c r="M555" s="8">
        <f>(L555 + 'Lån Översikt'!$D$50)</f>
        <v>35611</v>
      </c>
      <c r="N555" s="8">
        <f>IF('Lån Översikt'!$D$22 = "JA", 
    IF(Q555 = TRUE, 'Lån Översikt'!$D$24 - M555, 'Lån Översikt'!$D$24 - M555 + 18300), 
    'Lån Översikt'!$D$24 - M555)
</f>
        <v>14189</v>
      </c>
      <c r="O555" s="25" t="b">
        <f t="shared" si="5"/>
        <v>1</v>
      </c>
      <c r="P555" s="26" t="b">
        <f t="shared" si="6"/>
        <v>1</v>
      </c>
      <c r="Q555" s="27" t="b">
        <f t="shared" si="8"/>
        <v>0</v>
      </c>
    </row>
    <row r="556">
      <c r="F556" s="8">
        <v>553.0</v>
      </c>
      <c r="G556" s="11">
        <f t="shared" si="1"/>
        <v>1871875</v>
      </c>
      <c r="H556" s="9">
        <f>INT(IF(AND('Lån Översikt'!$D$7="JA", 'Lån Översikt'!$D$11="JA", 'Lån Översikt'!$D$8="JA"), (G556*(('Lån Översikt'!$C$7/100*'Lån Översikt'!$C$11/100)-'Lån Översikt'!$C$8/100))/12, IF(AND('Lån Översikt'!$D$7="JA", 'Lån Översikt'!$D$11="JA", 'Lån Översikt'!$D$8="NEJ"), (G556*(('Lån Översikt'!$C$7/100*'Lån Översikt'!$C$11/100))/12), 0)))
</f>
        <v>4784</v>
      </c>
      <c r="I556" s="8">
        <f t="shared" si="2"/>
        <v>4712</v>
      </c>
      <c r="J556" s="8">
        <f>IF(AND(P556, O556), 0, IF(O556, INT((('Lån Översikt'!$C$5 * 1 / 100) / 12)), INT((('Lån Översikt'!$C$5 * 'Lån Översikt'!$C$15 / 100) / 12))))
</f>
        <v>0</v>
      </c>
      <c r="K556" s="8">
        <f t="shared" si="3"/>
        <v>4166</v>
      </c>
      <c r="L556" s="8">
        <f t="shared" si="4"/>
        <v>13662</v>
      </c>
      <c r="M556" s="8">
        <f>(L556 + 'Lån Översikt'!$D$50)</f>
        <v>35611</v>
      </c>
      <c r="N556" s="8">
        <f>IF('Lån Översikt'!$D$22 = "JA", 
    IF(Q556 = TRUE, 'Lån Översikt'!$D$24 - M556, 'Lån Översikt'!$D$24 - M556 + 18300), 
    'Lån Översikt'!$D$24 - M556)
</f>
        <v>14189</v>
      </c>
      <c r="O556" s="25" t="b">
        <f t="shared" si="5"/>
        <v>1</v>
      </c>
      <c r="P556" s="26" t="b">
        <f t="shared" si="6"/>
        <v>1</v>
      </c>
      <c r="Q556" s="27" t="b">
        <f t="shared" si="8"/>
        <v>0</v>
      </c>
    </row>
    <row r="557">
      <c r="F557" s="8">
        <v>554.0</v>
      </c>
      <c r="G557" s="11">
        <f t="shared" si="1"/>
        <v>1871875</v>
      </c>
      <c r="H557" s="9">
        <f>INT(IF(AND('Lån Översikt'!$D$7="JA", 'Lån Översikt'!$D$11="JA", 'Lån Översikt'!$D$8="JA"), (G557*(('Lån Översikt'!$C$7/100*'Lån Översikt'!$C$11/100)-'Lån Översikt'!$C$8/100))/12, IF(AND('Lån Översikt'!$D$7="JA", 'Lån Översikt'!$D$11="JA", 'Lån Översikt'!$D$8="NEJ"), (G557*(('Lån Översikt'!$C$7/100*'Lån Översikt'!$C$11/100))/12), 0)))
</f>
        <v>4784</v>
      </c>
      <c r="I557" s="8">
        <f t="shared" si="2"/>
        <v>4712</v>
      </c>
      <c r="J557" s="8">
        <f>IF(AND(P557, O557), 0, IF(O557, INT((('Lån Översikt'!$C$5 * 1 / 100) / 12)), INT((('Lån Översikt'!$C$5 * 'Lån Översikt'!$C$15 / 100) / 12))))
</f>
        <v>0</v>
      </c>
      <c r="K557" s="8">
        <f t="shared" si="3"/>
        <v>4166</v>
      </c>
      <c r="L557" s="8">
        <f t="shared" si="4"/>
        <v>13662</v>
      </c>
      <c r="M557" s="8">
        <f>(L557 + 'Lån Översikt'!$D$50)</f>
        <v>35611</v>
      </c>
      <c r="N557" s="8">
        <f>IF('Lån Översikt'!$D$22 = "JA", 
    IF(Q557 = TRUE, 'Lån Översikt'!$D$24 - M557, 'Lån Översikt'!$D$24 - M557 + 18300), 
    'Lån Översikt'!$D$24 - M557)
</f>
        <v>14189</v>
      </c>
      <c r="O557" s="25" t="b">
        <f t="shared" si="5"/>
        <v>1</v>
      </c>
      <c r="P557" s="26" t="b">
        <f t="shared" si="6"/>
        <v>1</v>
      </c>
      <c r="Q557" s="27" t="b">
        <f t="shared" si="8"/>
        <v>0</v>
      </c>
    </row>
    <row r="558">
      <c r="F558" s="8">
        <v>555.0</v>
      </c>
      <c r="G558" s="11">
        <f t="shared" si="1"/>
        <v>1871875</v>
      </c>
      <c r="H558" s="9">
        <f>INT(IF(AND('Lån Översikt'!$D$7="JA", 'Lån Översikt'!$D$11="JA", 'Lån Översikt'!$D$8="JA"), (G558*(('Lån Översikt'!$C$7/100*'Lån Översikt'!$C$11/100)-'Lån Översikt'!$C$8/100))/12, IF(AND('Lån Översikt'!$D$7="JA", 'Lån Översikt'!$D$11="JA", 'Lån Översikt'!$D$8="NEJ"), (G558*(('Lån Översikt'!$C$7/100*'Lån Översikt'!$C$11/100))/12), 0)))
</f>
        <v>4784</v>
      </c>
      <c r="I558" s="8">
        <f t="shared" si="2"/>
        <v>4712</v>
      </c>
      <c r="J558" s="8">
        <f>IF(AND(P558, O558), 0, IF(O558, INT((('Lån Översikt'!$C$5 * 1 / 100) / 12)), INT((('Lån Översikt'!$C$5 * 'Lån Översikt'!$C$15 / 100) / 12))))
</f>
        <v>0</v>
      </c>
      <c r="K558" s="8">
        <f t="shared" si="3"/>
        <v>4166</v>
      </c>
      <c r="L558" s="8">
        <f t="shared" si="4"/>
        <v>13662</v>
      </c>
      <c r="M558" s="8">
        <f>(L558 + 'Lån Översikt'!$D$50)</f>
        <v>35611</v>
      </c>
      <c r="N558" s="8">
        <f>IF('Lån Översikt'!$D$22 = "JA", 
    IF(Q558 = TRUE, 'Lån Översikt'!$D$24 - M558, 'Lån Översikt'!$D$24 - M558 + 18300), 
    'Lån Översikt'!$D$24 - M558)
</f>
        <v>14189</v>
      </c>
      <c r="O558" s="25" t="b">
        <f t="shared" si="5"/>
        <v>1</v>
      </c>
      <c r="P558" s="26" t="b">
        <f t="shared" si="6"/>
        <v>1</v>
      </c>
      <c r="Q558" s="27" t="b">
        <f t="shared" si="8"/>
        <v>0</v>
      </c>
    </row>
    <row r="559">
      <c r="F559" s="8">
        <v>556.0</v>
      </c>
      <c r="G559" s="11">
        <f t="shared" si="1"/>
        <v>1871875</v>
      </c>
      <c r="H559" s="9">
        <f>INT(IF(AND('Lån Översikt'!$D$7="JA", 'Lån Översikt'!$D$11="JA", 'Lån Översikt'!$D$8="JA"), (G559*(('Lån Översikt'!$C$7/100*'Lån Översikt'!$C$11/100)-'Lån Översikt'!$C$8/100))/12, IF(AND('Lån Översikt'!$D$7="JA", 'Lån Översikt'!$D$11="JA", 'Lån Översikt'!$D$8="NEJ"), (G559*(('Lån Översikt'!$C$7/100*'Lån Översikt'!$C$11/100))/12), 0)))
</f>
        <v>4784</v>
      </c>
      <c r="I559" s="8">
        <f t="shared" si="2"/>
        <v>4712</v>
      </c>
      <c r="J559" s="8">
        <f>IF(AND(P559, O559), 0, IF(O559, INT((('Lån Översikt'!$C$5 * 1 / 100) / 12)), INT((('Lån Översikt'!$C$5 * 'Lån Översikt'!$C$15 / 100) / 12))))
</f>
        <v>0</v>
      </c>
      <c r="K559" s="8">
        <f t="shared" si="3"/>
        <v>4166</v>
      </c>
      <c r="L559" s="8">
        <f t="shared" si="4"/>
        <v>13662</v>
      </c>
      <c r="M559" s="8">
        <f>(L559 + 'Lån Översikt'!$D$50)</f>
        <v>35611</v>
      </c>
      <c r="N559" s="8">
        <f>IF('Lån Översikt'!$D$22 = "JA", 
    IF(Q559 = TRUE, 'Lån Översikt'!$D$24 - M559, 'Lån Översikt'!$D$24 - M559 + 18300), 
    'Lån Översikt'!$D$24 - M559)
</f>
        <v>14189</v>
      </c>
      <c r="O559" s="25" t="b">
        <f t="shared" si="5"/>
        <v>1</v>
      </c>
      <c r="P559" s="26" t="b">
        <f t="shared" si="6"/>
        <v>1</v>
      </c>
      <c r="Q559" s="27" t="b">
        <f t="shared" si="8"/>
        <v>0</v>
      </c>
    </row>
    <row r="560">
      <c r="F560" s="8">
        <v>557.0</v>
      </c>
      <c r="G560" s="11">
        <f t="shared" si="1"/>
        <v>1871875</v>
      </c>
      <c r="H560" s="9">
        <f>INT(IF(AND('Lån Översikt'!$D$7="JA", 'Lån Översikt'!$D$11="JA", 'Lån Översikt'!$D$8="JA"), (G560*(('Lån Översikt'!$C$7/100*'Lån Översikt'!$C$11/100)-'Lån Översikt'!$C$8/100))/12, IF(AND('Lån Översikt'!$D$7="JA", 'Lån Översikt'!$D$11="JA", 'Lån Översikt'!$D$8="NEJ"), (G560*(('Lån Översikt'!$C$7/100*'Lån Översikt'!$C$11/100))/12), 0)))
</f>
        <v>4784</v>
      </c>
      <c r="I560" s="8">
        <f t="shared" si="2"/>
        <v>4712</v>
      </c>
      <c r="J560" s="8">
        <f>IF(AND(P560, O560), 0, IF(O560, INT((('Lån Översikt'!$C$5 * 1 / 100) / 12)), INT((('Lån Översikt'!$C$5 * 'Lån Översikt'!$C$15 / 100) / 12))))
</f>
        <v>0</v>
      </c>
      <c r="K560" s="8">
        <f t="shared" si="3"/>
        <v>4166</v>
      </c>
      <c r="L560" s="8">
        <f t="shared" si="4"/>
        <v>13662</v>
      </c>
      <c r="M560" s="8">
        <f>(L560 + 'Lån Översikt'!$D$50)</f>
        <v>35611</v>
      </c>
      <c r="N560" s="8">
        <f>IF('Lån Översikt'!$D$22 = "JA", 
    IF(Q560 = TRUE, 'Lån Översikt'!$D$24 - M560, 'Lån Översikt'!$D$24 - M560 + 18300), 
    'Lån Översikt'!$D$24 - M560)
</f>
        <v>14189</v>
      </c>
      <c r="O560" s="25" t="b">
        <f t="shared" si="5"/>
        <v>1</v>
      </c>
      <c r="P560" s="26" t="b">
        <f t="shared" si="6"/>
        <v>1</v>
      </c>
      <c r="Q560" s="27" t="b">
        <f t="shared" si="8"/>
        <v>0</v>
      </c>
    </row>
    <row r="561">
      <c r="F561" s="8">
        <v>558.0</v>
      </c>
      <c r="G561" s="11">
        <f t="shared" si="1"/>
        <v>1871875</v>
      </c>
      <c r="H561" s="9">
        <f>INT(IF(AND('Lån Översikt'!$D$7="JA", 'Lån Översikt'!$D$11="JA", 'Lån Översikt'!$D$8="JA"), (G561*(('Lån Översikt'!$C$7/100*'Lån Översikt'!$C$11/100)-'Lån Översikt'!$C$8/100))/12, IF(AND('Lån Översikt'!$D$7="JA", 'Lån Översikt'!$D$11="JA", 'Lån Översikt'!$D$8="NEJ"), (G561*(('Lån Översikt'!$C$7/100*'Lån Översikt'!$C$11/100))/12), 0)))
</f>
        <v>4784</v>
      </c>
      <c r="I561" s="8">
        <f t="shared" si="2"/>
        <v>4712</v>
      </c>
      <c r="J561" s="8">
        <f>IF(AND(P561, O561), 0, IF(O561, INT((('Lån Översikt'!$C$5 * 1 / 100) / 12)), INT((('Lån Översikt'!$C$5 * 'Lån Översikt'!$C$15 / 100) / 12))))
</f>
        <v>0</v>
      </c>
      <c r="K561" s="8">
        <f t="shared" si="3"/>
        <v>4166</v>
      </c>
      <c r="L561" s="8">
        <f t="shared" si="4"/>
        <v>13662</v>
      </c>
      <c r="M561" s="8">
        <f>(L561 + 'Lån Översikt'!$D$50)</f>
        <v>35611</v>
      </c>
      <c r="N561" s="8">
        <f>IF('Lån Översikt'!$D$22 = "JA", 
    IF(Q561 = TRUE, 'Lån Översikt'!$D$24 - M561, 'Lån Översikt'!$D$24 - M561 + 18300), 
    'Lån Översikt'!$D$24 - M561)
</f>
        <v>14189</v>
      </c>
      <c r="O561" s="25" t="b">
        <f t="shared" si="5"/>
        <v>1</v>
      </c>
      <c r="P561" s="26" t="b">
        <f t="shared" si="6"/>
        <v>1</v>
      </c>
      <c r="Q561" s="27" t="b">
        <f t="shared" si="8"/>
        <v>0</v>
      </c>
    </row>
    <row r="562">
      <c r="F562" s="8">
        <v>559.0</v>
      </c>
      <c r="G562" s="11">
        <f t="shared" si="1"/>
        <v>1871875</v>
      </c>
      <c r="H562" s="9">
        <f>INT(IF(AND('Lån Översikt'!$D$7="JA", 'Lån Översikt'!$D$11="JA", 'Lån Översikt'!$D$8="JA"), (G562*(('Lån Översikt'!$C$7/100*'Lån Översikt'!$C$11/100)-'Lån Översikt'!$C$8/100))/12, IF(AND('Lån Översikt'!$D$7="JA", 'Lån Översikt'!$D$11="JA", 'Lån Översikt'!$D$8="NEJ"), (G562*(('Lån Översikt'!$C$7/100*'Lån Översikt'!$C$11/100))/12), 0)))
</f>
        <v>4784</v>
      </c>
      <c r="I562" s="8">
        <f t="shared" si="2"/>
        <v>4712</v>
      </c>
      <c r="J562" s="8">
        <f>IF(AND(P562, O562), 0, IF(O562, INT((('Lån Översikt'!$C$5 * 1 / 100) / 12)), INT((('Lån Översikt'!$C$5 * 'Lån Översikt'!$C$15 / 100) / 12))))
</f>
        <v>0</v>
      </c>
      <c r="K562" s="8">
        <f t="shared" si="3"/>
        <v>4166</v>
      </c>
      <c r="L562" s="8">
        <f t="shared" si="4"/>
        <v>13662</v>
      </c>
      <c r="M562" s="8">
        <f>(L562 + 'Lån Översikt'!$D$50)</f>
        <v>35611</v>
      </c>
      <c r="N562" s="8">
        <f>IF('Lån Översikt'!$D$22 = "JA", 
    IF(Q562 = TRUE, 'Lån Översikt'!$D$24 - M562, 'Lån Översikt'!$D$24 - M562 + 18300), 
    'Lån Översikt'!$D$24 - M562)
</f>
        <v>14189</v>
      </c>
      <c r="O562" s="25" t="b">
        <f t="shared" si="5"/>
        <v>1</v>
      </c>
      <c r="P562" s="26" t="b">
        <f t="shared" si="6"/>
        <v>1</v>
      </c>
      <c r="Q562" s="27" t="b">
        <f t="shared" si="8"/>
        <v>0</v>
      </c>
    </row>
    <row r="563">
      <c r="F563" s="8">
        <v>560.0</v>
      </c>
      <c r="G563" s="11">
        <f t="shared" si="1"/>
        <v>1871875</v>
      </c>
      <c r="H563" s="9">
        <f>INT(IF(AND('Lån Översikt'!$D$7="JA", 'Lån Översikt'!$D$11="JA", 'Lån Översikt'!$D$8="JA"), (G563*(('Lån Översikt'!$C$7/100*'Lån Översikt'!$C$11/100)-'Lån Översikt'!$C$8/100))/12, IF(AND('Lån Översikt'!$D$7="JA", 'Lån Översikt'!$D$11="JA", 'Lån Översikt'!$D$8="NEJ"), (G563*(('Lån Översikt'!$C$7/100*'Lån Översikt'!$C$11/100))/12), 0)))
</f>
        <v>4784</v>
      </c>
      <c r="I563" s="8">
        <f t="shared" si="2"/>
        <v>4712</v>
      </c>
      <c r="J563" s="8">
        <f>IF(AND(P563, O563), 0, IF(O563, INT((('Lån Översikt'!$C$5 * 1 / 100) / 12)), INT((('Lån Översikt'!$C$5 * 'Lån Översikt'!$C$15 / 100) / 12))))
</f>
        <v>0</v>
      </c>
      <c r="K563" s="8">
        <f t="shared" si="3"/>
        <v>4166</v>
      </c>
      <c r="L563" s="8">
        <f t="shared" si="4"/>
        <v>13662</v>
      </c>
      <c r="M563" s="8">
        <f>(L563 + 'Lån Översikt'!$D$50)</f>
        <v>35611</v>
      </c>
      <c r="N563" s="8">
        <f>IF('Lån Översikt'!$D$22 = "JA", 
    IF(Q563 = TRUE, 'Lån Översikt'!$D$24 - M563, 'Lån Översikt'!$D$24 - M563 + 18300), 
    'Lån Översikt'!$D$24 - M563)
</f>
        <v>14189</v>
      </c>
      <c r="O563" s="25" t="b">
        <f t="shared" si="5"/>
        <v>1</v>
      </c>
      <c r="P563" s="26" t="b">
        <f t="shared" si="6"/>
        <v>1</v>
      </c>
      <c r="Q563" s="27" t="b">
        <f t="shared" si="8"/>
        <v>0</v>
      </c>
    </row>
    <row r="564">
      <c r="F564" s="8">
        <v>561.0</v>
      </c>
      <c r="G564" s="11">
        <f t="shared" si="1"/>
        <v>1871875</v>
      </c>
      <c r="H564" s="9">
        <f>INT(IF(AND('Lån Översikt'!$D$7="JA", 'Lån Översikt'!$D$11="JA", 'Lån Översikt'!$D$8="JA"), (G564*(('Lån Översikt'!$C$7/100*'Lån Översikt'!$C$11/100)-'Lån Översikt'!$C$8/100))/12, IF(AND('Lån Översikt'!$D$7="JA", 'Lån Översikt'!$D$11="JA", 'Lån Översikt'!$D$8="NEJ"), (G564*(('Lån Översikt'!$C$7/100*'Lån Översikt'!$C$11/100))/12), 0)))
</f>
        <v>4784</v>
      </c>
      <c r="I564" s="8">
        <f t="shared" si="2"/>
        <v>4712</v>
      </c>
      <c r="J564" s="8">
        <f>IF(AND(P564, O564), 0, IF(O564, INT((('Lån Översikt'!$C$5 * 1 / 100) / 12)), INT((('Lån Översikt'!$C$5 * 'Lån Översikt'!$C$15 / 100) / 12))))
</f>
        <v>0</v>
      </c>
      <c r="K564" s="8">
        <f t="shared" si="3"/>
        <v>4166</v>
      </c>
      <c r="L564" s="8">
        <f t="shared" si="4"/>
        <v>13662</v>
      </c>
      <c r="M564" s="8">
        <f>(L564 + 'Lån Översikt'!$D$50)</f>
        <v>35611</v>
      </c>
      <c r="N564" s="8">
        <f>IF('Lån Översikt'!$D$22 = "JA", 
    IF(Q564 = TRUE, 'Lån Översikt'!$D$24 - M564, 'Lån Översikt'!$D$24 - M564 + 18300), 
    'Lån Översikt'!$D$24 - M564)
</f>
        <v>14189</v>
      </c>
      <c r="O564" s="25" t="b">
        <f t="shared" si="5"/>
        <v>1</v>
      </c>
      <c r="P564" s="26" t="b">
        <f t="shared" si="6"/>
        <v>1</v>
      </c>
      <c r="Q564" s="27" t="b">
        <f t="shared" si="8"/>
        <v>0</v>
      </c>
    </row>
    <row r="565">
      <c r="F565" s="8">
        <v>562.0</v>
      </c>
      <c r="G565" s="11">
        <f t="shared" si="1"/>
        <v>1871875</v>
      </c>
      <c r="H565" s="9">
        <f>INT(IF(AND('Lån Översikt'!$D$7="JA", 'Lån Översikt'!$D$11="JA", 'Lån Översikt'!$D$8="JA"), (G565*(('Lån Översikt'!$C$7/100*'Lån Översikt'!$C$11/100)-'Lån Översikt'!$C$8/100))/12, IF(AND('Lån Översikt'!$D$7="JA", 'Lån Översikt'!$D$11="JA", 'Lån Översikt'!$D$8="NEJ"), (G565*(('Lån Översikt'!$C$7/100*'Lån Översikt'!$C$11/100))/12), 0)))
</f>
        <v>4784</v>
      </c>
      <c r="I565" s="8">
        <f t="shared" si="2"/>
        <v>4712</v>
      </c>
      <c r="J565" s="8">
        <f>IF(AND(P565, O565), 0, IF(O565, INT((('Lån Översikt'!$C$5 * 1 / 100) / 12)), INT((('Lån Översikt'!$C$5 * 'Lån Översikt'!$C$15 / 100) / 12))))
</f>
        <v>0</v>
      </c>
      <c r="K565" s="8">
        <f t="shared" si="3"/>
        <v>4166</v>
      </c>
      <c r="L565" s="8">
        <f t="shared" si="4"/>
        <v>13662</v>
      </c>
      <c r="M565" s="8">
        <f>(L565 + 'Lån Översikt'!$D$50)</f>
        <v>35611</v>
      </c>
      <c r="N565" s="8">
        <f>IF('Lån Översikt'!$D$22 = "JA", 
    IF(Q565 = TRUE, 'Lån Översikt'!$D$24 - M565, 'Lån Översikt'!$D$24 - M565 + 18300), 
    'Lån Översikt'!$D$24 - M565)
</f>
        <v>14189</v>
      </c>
      <c r="O565" s="25" t="b">
        <f t="shared" si="5"/>
        <v>1</v>
      </c>
      <c r="P565" s="26" t="b">
        <f t="shared" si="6"/>
        <v>1</v>
      </c>
      <c r="Q565" s="27" t="b">
        <f t="shared" si="8"/>
        <v>0</v>
      </c>
    </row>
    <row r="566">
      <c r="F566" s="8">
        <v>563.0</v>
      </c>
      <c r="G566" s="11">
        <f t="shared" si="1"/>
        <v>1871875</v>
      </c>
      <c r="H566" s="9">
        <f>INT(IF(AND('Lån Översikt'!$D$7="JA", 'Lån Översikt'!$D$11="JA", 'Lån Översikt'!$D$8="JA"), (G566*(('Lån Översikt'!$C$7/100*'Lån Översikt'!$C$11/100)-'Lån Översikt'!$C$8/100))/12, IF(AND('Lån Översikt'!$D$7="JA", 'Lån Översikt'!$D$11="JA", 'Lån Översikt'!$D$8="NEJ"), (G566*(('Lån Översikt'!$C$7/100*'Lån Översikt'!$C$11/100))/12), 0)))
</f>
        <v>4784</v>
      </c>
      <c r="I566" s="8">
        <f t="shared" si="2"/>
        <v>4712</v>
      </c>
      <c r="J566" s="8">
        <f>IF(AND(P566, O566), 0, IF(O566, INT((('Lån Översikt'!$C$5 * 1 / 100) / 12)), INT((('Lån Översikt'!$C$5 * 'Lån Översikt'!$C$15 / 100) / 12))))
</f>
        <v>0</v>
      </c>
      <c r="K566" s="8">
        <f t="shared" si="3"/>
        <v>4166</v>
      </c>
      <c r="L566" s="8">
        <f t="shared" si="4"/>
        <v>13662</v>
      </c>
      <c r="M566" s="8">
        <f>(L566 + 'Lån Översikt'!$D$50)</f>
        <v>35611</v>
      </c>
      <c r="N566" s="8">
        <f>IF('Lån Översikt'!$D$22 = "JA", 
    IF(Q566 = TRUE, 'Lån Översikt'!$D$24 - M566, 'Lån Översikt'!$D$24 - M566 + 18300), 
    'Lån Översikt'!$D$24 - M566)
</f>
        <v>14189</v>
      </c>
      <c r="O566" s="25" t="b">
        <f t="shared" si="5"/>
        <v>1</v>
      </c>
      <c r="P566" s="26" t="b">
        <f t="shared" si="6"/>
        <v>1</v>
      </c>
      <c r="Q566" s="27" t="b">
        <f t="shared" si="8"/>
        <v>0</v>
      </c>
    </row>
    <row r="567">
      <c r="F567" s="8">
        <v>564.0</v>
      </c>
      <c r="G567" s="11">
        <f t="shared" si="1"/>
        <v>1871875</v>
      </c>
      <c r="H567" s="9">
        <f>INT(IF(AND('Lån Översikt'!$D$7="JA", 'Lån Översikt'!$D$11="JA", 'Lån Översikt'!$D$8="JA"), (G567*(('Lån Översikt'!$C$7/100*'Lån Översikt'!$C$11/100)-'Lån Översikt'!$C$8/100))/12, IF(AND('Lån Översikt'!$D$7="JA", 'Lån Översikt'!$D$11="JA", 'Lån Översikt'!$D$8="NEJ"), (G567*(('Lån Översikt'!$C$7/100*'Lån Översikt'!$C$11/100))/12), 0)))
</f>
        <v>4784</v>
      </c>
      <c r="I567" s="8">
        <f t="shared" si="2"/>
        <v>4712</v>
      </c>
      <c r="J567" s="8">
        <f>IF(AND(P567, O567), 0, IF(O567, INT((('Lån Översikt'!$C$5 * 1 / 100) / 12)), INT((('Lån Översikt'!$C$5 * 'Lån Översikt'!$C$15 / 100) / 12))))
</f>
        <v>0</v>
      </c>
      <c r="K567" s="8">
        <f t="shared" si="3"/>
        <v>4166</v>
      </c>
      <c r="L567" s="8">
        <f t="shared" si="4"/>
        <v>13662</v>
      </c>
      <c r="M567" s="8">
        <f>(L567 + 'Lån Översikt'!$D$50)</f>
        <v>35611</v>
      </c>
      <c r="N567" s="8">
        <f>IF('Lån Översikt'!$D$22 = "JA", 
    IF(Q567 = TRUE, 'Lån Översikt'!$D$24 - M567, 'Lån Översikt'!$D$24 - M567 + 18300), 
    'Lån Översikt'!$D$24 - M567)
</f>
        <v>14189</v>
      </c>
      <c r="O567" s="25" t="b">
        <f t="shared" si="5"/>
        <v>1</v>
      </c>
      <c r="P567" s="26" t="b">
        <f t="shared" si="6"/>
        <v>1</v>
      </c>
      <c r="Q567" s="27" t="b">
        <f t="shared" si="8"/>
        <v>0</v>
      </c>
    </row>
    <row r="568">
      <c r="F568" s="8">
        <v>565.0</v>
      </c>
      <c r="G568" s="11">
        <f t="shared" si="1"/>
        <v>1871875</v>
      </c>
      <c r="H568" s="9">
        <f>INT(IF(AND('Lån Översikt'!$D$7="JA", 'Lån Översikt'!$D$11="JA", 'Lån Översikt'!$D$8="JA"), (G568*(('Lån Översikt'!$C$7/100*'Lån Översikt'!$C$11/100)-'Lån Översikt'!$C$8/100))/12, IF(AND('Lån Översikt'!$D$7="JA", 'Lån Översikt'!$D$11="JA", 'Lån Översikt'!$D$8="NEJ"), (G568*(('Lån Översikt'!$C$7/100*'Lån Översikt'!$C$11/100))/12), 0)))
</f>
        <v>4784</v>
      </c>
      <c r="I568" s="8">
        <f t="shared" si="2"/>
        <v>4712</v>
      </c>
      <c r="J568" s="8">
        <f>IF(AND(P568, O568), 0, IF(O568, INT((('Lån Översikt'!$C$5 * 1 / 100) / 12)), INT((('Lån Översikt'!$C$5 * 'Lån Översikt'!$C$15 / 100) / 12))))
</f>
        <v>0</v>
      </c>
      <c r="K568" s="8">
        <f t="shared" si="3"/>
        <v>4166</v>
      </c>
      <c r="L568" s="8">
        <f t="shared" si="4"/>
        <v>13662</v>
      </c>
      <c r="M568" s="8">
        <f>(L568 + 'Lån Översikt'!$D$50)</f>
        <v>35611</v>
      </c>
      <c r="N568" s="8">
        <f>IF('Lån Översikt'!$D$22 = "JA", 
    IF(Q568 = TRUE, 'Lån Översikt'!$D$24 - M568, 'Lån Översikt'!$D$24 - M568 + 18300), 
    'Lån Översikt'!$D$24 - M568)
</f>
        <v>14189</v>
      </c>
      <c r="O568" s="25" t="b">
        <f t="shared" si="5"/>
        <v>1</v>
      </c>
      <c r="P568" s="26" t="b">
        <f t="shared" si="6"/>
        <v>1</v>
      </c>
      <c r="Q568" s="27" t="b">
        <f t="shared" si="8"/>
        <v>0</v>
      </c>
    </row>
    <row r="569">
      <c r="F569" s="8">
        <v>566.0</v>
      </c>
      <c r="G569" s="11">
        <f t="shared" si="1"/>
        <v>1871875</v>
      </c>
      <c r="H569" s="9">
        <f>INT(IF(AND('Lån Översikt'!$D$7="JA", 'Lån Översikt'!$D$11="JA", 'Lån Översikt'!$D$8="JA"), (G569*(('Lån Översikt'!$C$7/100*'Lån Översikt'!$C$11/100)-'Lån Översikt'!$C$8/100))/12, IF(AND('Lån Översikt'!$D$7="JA", 'Lån Översikt'!$D$11="JA", 'Lån Översikt'!$D$8="NEJ"), (G569*(('Lån Översikt'!$C$7/100*'Lån Översikt'!$C$11/100))/12), 0)))
</f>
        <v>4784</v>
      </c>
      <c r="I569" s="8">
        <f t="shared" si="2"/>
        <v>4712</v>
      </c>
      <c r="J569" s="8">
        <f>IF(AND(P569, O569), 0, IF(O569, INT((('Lån Översikt'!$C$5 * 1 / 100) / 12)), INT((('Lån Översikt'!$C$5 * 'Lån Översikt'!$C$15 / 100) / 12))))
</f>
        <v>0</v>
      </c>
      <c r="K569" s="8">
        <f t="shared" si="3"/>
        <v>4166</v>
      </c>
      <c r="L569" s="8">
        <f t="shared" si="4"/>
        <v>13662</v>
      </c>
      <c r="M569" s="8">
        <f>(L569 + 'Lån Översikt'!$D$50)</f>
        <v>35611</v>
      </c>
      <c r="N569" s="8">
        <f>IF('Lån Översikt'!$D$22 = "JA", 
    IF(Q569 = TRUE, 'Lån Översikt'!$D$24 - M569, 'Lån Översikt'!$D$24 - M569 + 18300), 
    'Lån Översikt'!$D$24 - M569)
</f>
        <v>14189</v>
      </c>
      <c r="O569" s="25" t="b">
        <f t="shared" si="5"/>
        <v>1</v>
      </c>
      <c r="P569" s="26" t="b">
        <f t="shared" si="6"/>
        <v>1</v>
      </c>
      <c r="Q569" s="27" t="b">
        <f t="shared" si="8"/>
        <v>0</v>
      </c>
    </row>
    <row r="570">
      <c r="F570" s="8">
        <v>567.0</v>
      </c>
      <c r="G570" s="11">
        <f t="shared" si="1"/>
        <v>1871875</v>
      </c>
      <c r="H570" s="9">
        <f>INT(IF(AND('Lån Översikt'!$D$7="JA", 'Lån Översikt'!$D$11="JA", 'Lån Översikt'!$D$8="JA"), (G570*(('Lån Översikt'!$C$7/100*'Lån Översikt'!$C$11/100)-'Lån Översikt'!$C$8/100))/12, IF(AND('Lån Översikt'!$D$7="JA", 'Lån Översikt'!$D$11="JA", 'Lån Översikt'!$D$8="NEJ"), (G570*(('Lån Översikt'!$C$7/100*'Lån Översikt'!$C$11/100))/12), 0)))
</f>
        <v>4784</v>
      </c>
      <c r="I570" s="8">
        <f t="shared" si="2"/>
        <v>4712</v>
      </c>
      <c r="J570" s="8">
        <f>IF(AND(P570, O570), 0, IF(O570, INT((('Lån Översikt'!$C$5 * 1 / 100) / 12)), INT((('Lån Översikt'!$C$5 * 'Lån Översikt'!$C$15 / 100) / 12))))
</f>
        <v>0</v>
      </c>
      <c r="K570" s="8">
        <f t="shared" si="3"/>
        <v>4166</v>
      </c>
      <c r="L570" s="8">
        <f t="shared" si="4"/>
        <v>13662</v>
      </c>
      <c r="M570" s="8">
        <f>(L570 + 'Lån Översikt'!$D$50)</f>
        <v>35611</v>
      </c>
      <c r="N570" s="8">
        <f>IF('Lån Översikt'!$D$22 = "JA", 
    IF(Q570 = TRUE, 'Lån Översikt'!$D$24 - M570, 'Lån Översikt'!$D$24 - M570 + 18300), 
    'Lån Översikt'!$D$24 - M570)
</f>
        <v>14189</v>
      </c>
      <c r="O570" s="25" t="b">
        <f t="shared" si="5"/>
        <v>1</v>
      </c>
      <c r="P570" s="26" t="b">
        <f t="shared" si="6"/>
        <v>1</v>
      </c>
      <c r="Q570" s="27" t="b">
        <f t="shared" si="8"/>
        <v>0</v>
      </c>
    </row>
    <row r="571">
      <c r="F571" s="8">
        <v>568.0</v>
      </c>
      <c r="G571" s="11">
        <f t="shared" si="1"/>
        <v>1871875</v>
      </c>
      <c r="H571" s="9">
        <f>INT(IF(AND('Lån Översikt'!$D$7="JA", 'Lån Översikt'!$D$11="JA", 'Lån Översikt'!$D$8="JA"), (G571*(('Lån Översikt'!$C$7/100*'Lån Översikt'!$C$11/100)-'Lån Översikt'!$C$8/100))/12, IF(AND('Lån Översikt'!$D$7="JA", 'Lån Översikt'!$D$11="JA", 'Lån Översikt'!$D$8="NEJ"), (G571*(('Lån Översikt'!$C$7/100*'Lån Översikt'!$C$11/100))/12), 0)))
</f>
        <v>4784</v>
      </c>
      <c r="I571" s="8">
        <f t="shared" si="2"/>
        <v>4712</v>
      </c>
      <c r="J571" s="8">
        <f>IF(AND(P571, O571), 0, IF(O571, INT((('Lån Översikt'!$C$5 * 1 / 100) / 12)), INT((('Lån Översikt'!$C$5 * 'Lån Översikt'!$C$15 / 100) / 12))))
</f>
        <v>0</v>
      </c>
      <c r="K571" s="8">
        <f t="shared" si="3"/>
        <v>4166</v>
      </c>
      <c r="L571" s="8">
        <f t="shared" si="4"/>
        <v>13662</v>
      </c>
      <c r="M571" s="8">
        <f>(L571 + 'Lån Översikt'!$D$50)</f>
        <v>35611</v>
      </c>
      <c r="N571" s="8">
        <f>IF('Lån Översikt'!$D$22 = "JA", 
    IF(Q571 = TRUE, 'Lån Översikt'!$D$24 - M571, 'Lån Översikt'!$D$24 - M571 + 18300), 
    'Lån Översikt'!$D$24 - M571)
</f>
        <v>14189</v>
      </c>
      <c r="O571" s="25" t="b">
        <f t="shared" si="5"/>
        <v>1</v>
      </c>
      <c r="P571" s="26" t="b">
        <f t="shared" si="6"/>
        <v>1</v>
      </c>
      <c r="Q571" s="27" t="b">
        <f t="shared" si="8"/>
        <v>0</v>
      </c>
    </row>
    <row r="572">
      <c r="F572" s="8">
        <v>569.0</v>
      </c>
      <c r="G572" s="11">
        <f t="shared" si="1"/>
        <v>1871875</v>
      </c>
      <c r="H572" s="9">
        <f>INT(IF(AND('Lån Översikt'!$D$7="JA", 'Lån Översikt'!$D$11="JA", 'Lån Översikt'!$D$8="JA"), (G572*(('Lån Översikt'!$C$7/100*'Lån Översikt'!$C$11/100)-'Lån Översikt'!$C$8/100))/12, IF(AND('Lån Översikt'!$D$7="JA", 'Lån Översikt'!$D$11="JA", 'Lån Översikt'!$D$8="NEJ"), (G572*(('Lån Översikt'!$C$7/100*'Lån Översikt'!$C$11/100))/12), 0)))
</f>
        <v>4784</v>
      </c>
      <c r="I572" s="8">
        <f t="shared" si="2"/>
        <v>4712</v>
      </c>
      <c r="J572" s="8">
        <f>IF(AND(P572, O572), 0, IF(O572, INT((('Lån Översikt'!$C$5 * 1 / 100) / 12)), INT((('Lån Översikt'!$C$5 * 'Lån Översikt'!$C$15 / 100) / 12))))
</f>
        <v>0</v>
      </c>
      <c r="K572" s="8">
        <f t="shared" si="3"/>
        <v>4166</v>
      </c>
      <c r="L572" s="8">
        <f t="shared" si="4"/>
        <v>13662</v>
      </c>
      <c r="M572" s="8">
        <f>(L572 + 'Lån Översikt'!$D$50)</f>
        <v>35611</v>
      </c>
      <c r="N572" s="8">
        <f>IF('Lån Översikt'!$D$22 = "JA", 
    IF(Q572 = TRUE, 'Lån Översikt'!$D$24 - M572, 'Lån Översikt'!$D$24 - M572 + 18300), 
    'Lån Översikt'!$D$24 - M572)
</f>
        <v>14189</v>
      </c>
      <c r="O572" s="25" t="b">
        <f t="shared" si="5"/>
        <v>1</v>
      </c>
      <c r="P572" s="26" t="b">
        <f t="shared" si="6"/>
        <v>1</v>
      </c>
      <c r="Q572" s="27" t="b">
        <f t="shared" si="8"/>
        <v>0</v>
      </c>
    </row>
    <row r="573">
      <c r="F573" s="8">
        <v>570.0</v>
      </c>
      <c r="G573" s="11">
        <f t="shared" si="1"/>
        <v>1871875</v>
      </c>
      <c r="H573" s="9">
        <f>INT(IF(AND('Lån Översikt'!$D$7="JA", 'Lån Översikt'!$D$11="JA", 'Lån Översikt'!$D$8="JA"), (G573*(('Lån Översikt'!$C$7/100*'Lån Översikt'!$C$11/100)-'Lån Översikt'!$C$8/100))/12, IF(AND('Lån Översikt'!$D$7="JA", 'Lån Översikt'!$D$11="JA", 'Lån Översikt'!$D$8="NEJ"), (G573*(('Lån Översikt'!$C$7/100*'Lån Översikt'!$C$11/100))/12), 0)))
</f>
        <v>4784</v>
      </c>
      <c r="I573" s="8">
        <f t="shared" si="2"/>
        <v>4712</v>
      </c>
      <c r="J573" s="8">
        <f>IF(AND(P573, O573), 0, IF(O573, INT((('Lån Översikt'!$C$5 * 1 / 100) / 12)), INT((('Lån Översikt'!$C$5 * 'Lån Översikt'!$C$15 / 100) / 12))))
</f>
        <v>0</v>
      </c>
      <c r="K573" s="8">
        <f t="shared" si="3"/>
        <v>4166</v>
      </c>
      <c r="L573" s="8">
        <f t="shared" si="4"/>
        <v>13662</v>
      </c>
      <c r="M573" s="8">
        <f>(L573 + 'Lån Översikt'!$D$50)</f>
        <v>35611</v>
      </c>
      <c r="N573" s="8">
        <f>IF('Lån Översikt'!$D$22 = "JA", 
    IF(Q573 = TRUE, 'Lån Översikt'!$D$24 - M573, 'Lån Översikt'!$D$24 - M573 + 18300), 
    'Lån Översikt'!$D$24 - M573)
</f>
        <v>14189</v>
      </c>
      <c r="O573" s="25" t="b">
        <f t="shared" si="5"/>
        <v>1</v>
      </c>
      <c r="P573" s="26" t="b">
        <f t="shared" si="6"/>
        <v>1</v>
      </c>
      <c r="Q573" s="27" t="b">
        <f t="shared" si="8"/>
        <v>0</v>
      </c>
    </row>
    <row r="574">
      <c r="F574" s="8">
        <v>571.0</v>
      </c>
      <c r="G574" s="11">
        <f t="shared" si="1"/>
        <v>1871875</v>
      </c>
      <c r="H574" s="9">
        <f>INT(IF(AND('Lån Översikt'!$D$7="JA", 'Lån Översikt'!$D$11="JA", 'Lån Översikt'!$D$8="JA"), (G574*(('Lån Översikt'!$C$7/100*'Lån Översikt'!$C$11/100)-'Lån Översikt'!$C$8/100))/12, IF(AND('Lån Översikt'!$D$7="JA", 'Lån Översikt'!$D$11="JA", 'Lån Översikt'!$D$8="NEJ"), (G574*(('Lån Översikt'!$C$7/100*'Lån Översikt'!$C$11/100))/12), 0)))
</f>
        <v>4784</v>
      </c>
      <c r="I574" s="8">
        <f t="shared" si="2"/>
        <v>4712</v>
      </c>
      <c r="J574" s="8">
        <f>IF(AND(P574, O574), 0, IF(O574, INT((('Lån Översikt'!$C$5 * 1 / 100) / 12)), INT((('Lån Översikt'!$C$5 * 'Lån Översikt'!$C$15 / 100) / 12))))
</f>
        <v>0</v>
      </c>
      <c r="K574" s="8">
        <f t="shared" si="3"/>
        <v>4166</v>
      </c>
      <c r="L574" s="8">
        <f t="shared" si="4"/>
        <v>13662</v>
      </c>
      <c r="M574" s="8">
        <f>(L574 + 'Lån Översikt'!$D$50)</f>
        <v>35611</v>
      </c>
      <c r="N574" s="8">
        <f>IF('Lån Översikt'!$D$22 = "JA", 
    IF(Q574 = TRUE, 'Lån Översikt'!$D$24 - M574, 'Lån Översikt'!$D$24 - M574 + 18300), 
    'Lån Översikt'!$D$24 - M574)
</f>
        <v>14189</v>
      </c>
      <c r="O574" s="25" t="b">
        <f t="shared" si="5"/>
        <v>1</v>
      </c>
      <c r="P574" s="26" t="b">
        <f t="shared" si="6"/>
        <v>1</v>
      </c>
      <c r="Q574" s="27" t="b">
        <f t="shared" si="8"/>
        <v>0</v>
      </c>
    </row>
    <row r="575">
      <c r="F575" s="8">
        <v>572.0</v>
      </c>
      <c r="G575" s="11">
        <f t="shared" si="1"/>
        <v>1871875</v>
      </c>
      <c r="H575" s="9">
        <f>INT(IF(AND('Lån Översikt'!$D$7="JA", 'Lån Översikt'!$D$11="JA", 'Lån Översikt'!$D$8="JA"), (G575*(('Lån Översikt'!$C$7/100*'Lån Översikt'!$C$11/100)-'Lån Översikt'!$C$8/100))/12, IF(AND('Lån Översikt'!$D$7="JA", 'Lån Översikt'!$D$11="JA", 'Lån Översikt'!$D$8="NEJ"), (G575*(('Lån Översikt'!$C$7/100*'Lån Översikt'!$C$11/100))/12), 0)))
</f>
        <v>4784</v>
      </c>
      <c r="I575" s="8">
        <f t="shared" si="2"/>
        <v>4712</v>
      </c>
      <c r="J575" s="8">
        <f>IF(AND(P575, O575), 0, IF(O575, INT((('Lån Översikt'!$C$5 * 1 / 100) / 12)), INT((('Lån Översikt'!$C$5 * 'Lån Översikt'!$C$15 / 100) / 12))))
</f>
        <v>0</v>
      </c>
      <c r="K575" s="8">
        <f t="shared" si="3"/>
        <v>4166</v>
      </c>
      <c r="L575" s="8">
        <f t="shared" si="4"/>
        <v>13662</v>
      </c>
      <c r="M575" s="8">
        <f>(L575 + 'Lån Översikt'!$D$50)</f>
        <v>35611</v>
      </c>
      <c r="N575" s="8">
        <f>IF('Lån Översikt'!$D$22 = "JA", 
    IF(Q575 = TRUE, 'Lån Översikt'!$D$24 - M575, 'Lån Översikt'!$D$24 - M575 + 18300), 
    'Lån Översikt'!$D$24 - M575)
</f>
        <v>14189</v>
      </c>
      <c r="O575" s="25" t="b">
        <f t="shared" si="5"/>
        <v>1</v>
      </c>
      <c r="P575" s="26" t="b">
        <f t="shared" si="6"/>
        <v>1</v>
      </c>
      <c r="Q575" s="27" t="b">
        <f t="shared" si="8"/>
        <v>0</v>
      </c>
    </row>
    <row r="576">
      <c r="F576" s="8">
        <v>573.0</v>
      </c>
      <c r="G576" s="11">
        <f t="shared" si="1"/>
        <v>1871875</v>
      </c>
      <c r="H576" s="9">
        <f>INT(IF(AND('Lån Översikt'!$D$7="JA", 'Lån Översikt'!$D$11="JA", 'Lån Översikt'!$D$8="JA"), (G576*(('Lån Översikt'!$C$7/100*'Lån Översikt'!$C$11/100)-'Lån Översikt'!$C$8/100))/12, IF(AND('Lån Översikt'!$D$7="JA", 'Lån Översikt'!$D$11="JA", 'Lån Översikt'!$D$8="NEJ"), (G576*(('Lån Översikt'!$C$7/100*'Lån Översikt'!$C$11/100))/12), 0)))
</f>
        <v>4784</v>
      </c>
      <c r="I576" s="8">
        <f t="shared" si="2"/>
        <v>4712</v>
      </c>
      <c r="J576" s="8">
        <f>IF(AND(P576, O576), 0, IF(O576, INT((('Lån Översikt'!$C$5 * 1 / 100) / 12)), INT((('Lån Översikt'!$C$5 * 'Lån Översikt'!$C$15 / 100) / 12))))
</f>
        <v>0</v>
      </c>
      <c r="K576" s="8">
        <f t="shared" si="3"/>
        <v>4166</v>
      </c>
      <c r="L576" s="8">
        <f t="shared" si="4"/>
        <v>13662</v>
      </c>
      <c r="M576" s="8">
        <f>(L576 + 'Lån Översikt'!$D$50)</f>
        <v>35611</v>
      </c>
      <c r="N576" s="8">
        <f>IF('Lån Översikt'!$D$22 = "JA", 
    IF(Q576 = TRUE, 'Lån Översikt'!$D$24 - M576, 'Lån Översikt'!$D$24 - M576 + 18300), 
    'Lån Översikt'!$D$24 - M576)
</f>
        <v>14189</v>
      </c>
      <c r="O576" s="25" t="b">
        <f t="shared" si="5"/>
        <v>1</v>
      </c>
      <c r="P576" s="26" t="b">
        <f t="shared" si="6"/>
        <v>1</v>
      </c>
      <c r="Q576" s="27" t="b">
        <f t="shared" si="8"/>
        <v>0</v>
      </c>
    </row>
    <row r="577">
      <c r="F577" s="8">
        <v>574.0</v>
      </c>
      <c r="G577" s="11">
        <f t="shared" si="1"/>
        <v>1871875</v>
      </c>
      <c r="H577" s="9">
        <f>INT(IF(AND('Lån Översikt'!$D$7="JA", 'Lån Översikt'!$D$11="JA", 'Lån Översikt'!$D$8="JA"), (G577*(('Lån Översikt'!$C$7/100*'Lån Översikt'!$C$11/100)-'Lån Översikt'!$C$8/100))/12, IF(AND('Lån Översikt'!$D$7="JA", 'Lån Översikt'!$D$11="JA", 'Lån Översikt'!$D$8="NEJ"), (G577*(('Lån Översikt'!$C$7/100*'Lån Översikt'!$C$11/100))/12), 0)))
</f>
        <v>4784</v>
      </c>
      <c r="I577" s="8">
        <f t="shared" si="2"/>
        <v>4712</v>
      </c>
      <c r="J577" s="8">
        <f>IF(AND(P577, O577), 0, IF(O577, INT((('Lån Översikt'!$C$5 * 1 / 100) / 12)), INT((('Lån Översikt'!$C$5 * 'Lån Översikt'!$C$15 / 100) / 12))))
</f>
        <v>0</v>
      </c>
      <c r="K577" s="8">
        <f t="shared" si="3"/>
        <v>4166</v>
      </c>
      <c r="L577" s="8">
        <f t="shared" si="4"/>
        <v>13662</v>
      </c>
      <c r="M577" s="8">
        <f>(L577 + 'Lån Översikt'!$D$50)</f>
        <v>35611</v>
      </c>
      <c r="N577" s="8">
        <f>IF('Lån Översikt'!$D$22 = "JA", 
    IF(Q577 = TRUE, 'Lån Översikt'!$D$24 - M577, 'Lån Översikt'!$D$24 - M577 + 18300), 
    'Lån Översikt'!$D$24 - M577)
</f>
        <v>14189</v>
      </c>
      <c r="O577" s="25" t="b">
        <f t="shared" si="5"/>
        <v>1</v>
      </c>
      <c r="P577" s="26" t="b">
        <f t="shared" si="6"/>
        <v>1</v>
      </c>
      <c r="Q577" s="27" t="b">
        <f t="shared" si="8"/>
        <v>0</v>
      </c>
    </row>
    <row r="578">
      <c r="F578" s="8">
        <v>575.0</v>
      </c>
      <c r="G578" s="11">
        <f t="shared" si="1"/>
        <v>1871875</v>
      </c>
      <c r="H578" s="9">
        <f>INT(IF(AND('Lån Översikt'!$D$7="JA", 'Lån Översikt'!$D$11="JA", 'Lån Översikt'!$D$8="JA"), (G578*(('Lån Översikt'!$C$7/100*'Lån Översikt'!$C$11/100)-'Lån Översikt'!$C$8/100))/12, IF(AND('Lån Översikt'!$D$7="JA", 'Lån Översikt'!$D$11="JA", 'Lån Översikt'!$D$8="NEJ"), (G578*(('Lån Översikt'!$C$7/100*'Lån Översikt'!$C$11/100))/12), 0)))
</f>
        <v>4784</v>
      </c>
      <c r="I578" s="8">
        <f t="shared" si="2"/>
        <v>4712</v>
      </c>
      <c r="J578" s="8">
        <f>IF(AND(P578, O578), 0, IF(O578, INT((('Lån Översikt'!$C$5 * 1 / 100) / 12)), INT((('Lån Översikt'!$C$5 * 'Lån Översikt'!$C$15 / 100) / 12))))
</f>
        <v>0</v>
      </c>
      <c r="K578" s="8">
        <f t="shared" si="3"/>
        <v>4166</v>
      </c>
      <c r="L578" s="8">
        <f t="shared" si="4"/>
        <v>13662</v>
      </c>
      <c r="M578" s="8">
        <f>(L578 + 'Lån Översikt'!$D$50)</f>
        <v>35611</v>
      </c>
      <c r="N578" s="8">
        <f>IF('Lån Översikt'!$D$22 = "JA", 
    IF(Q578 = TRUE, 'Lån Översikt'!$D$24 - M578, 'Lån Översikt'!$D$24 - M578 + 18300), 
    'Lån Översikt'!$D$24 - M578)
</f>
        <v>14189</v>
      </c>
      <c r="O578" s="25" t="b">
        <f t="shared" si="5"/>
        <v>1</v>
      </c>
      <c r="P578" s="26" t="b">
        <f t="shared" si="6"/>
        <v>1</v>
      </c>
      <c r="Q578" s="27" t="b">
        <f t="shared" si="8"/>
        <v>0</v>
      </c>
    </row>
    <row r="579">
      <c r="F579" s="8">
        <v>576.0</v>
      </c>
      <c r="G579" s="11">
        <f t="shared" si="1"/>
        <v>1871875</v>
      </c>
      <c r="H579" s="9">
        <f>INT(IF(AND('Lån Översikt'!$D$7="JA", 'Lån Översikt'!$D$11="JA", 'Lån Översikt'!$D$8="JA"), (G579*(('Lån Översikt'!$C$7/100*'Lån Översikt'!$C$11/100)-'Lån Översikt'!$C$8/100))/12, IF(AND('Lån Översikt'!$D$7="JA", 'Lån Översikt'!$D$11="JA", 'Lån Översikt'!$D$8="NEJ"), (G579*(('Lån Översikt'!$C$7/100*'Lån Översikt'!$C$11/100))/12), 0)))
</f>
        <v>4784</v>
      </c>
      <c r="I579" s="8">
        <f t="shared" si="2"/>
        <v>4712</v>
      </c>
      <c r="J579" s="8">
        <f>IF(AND(P579, O579), 0, IF(O579, INT((('Lån Översikt'!$C$5 * 1 / 100) / 12)), INT((('Lån Översikt'!$C$5 * 'Lån Översikt'!$C$15 / 100) / 12))))
</f>
        <v>0</v>
      </c>
      <c r="K579" s="8">
        <f t="shared" si="3"/>
        <v>4166</v>
      </c>
      <c r="L579" s="8">
        <f t="shared" si="4"/>
        <v>13662</v>
      </c>
      <c r="M579" s="8">
        <f>(L579 + 'Lån Översikt'!$D$50)</f>
        <v>35611</v>
      </c>
      <c r="N579" s="8">
        <f>IF('Lån Översikt'!$D$22 = "JA", 
    IF(Q579 = TRUE, 'Lån Översikt'!$D$24 - M579, 'Lån Översikt'!$D$24 - M579 + 18300), 
    'Lån Översikt'!$D$24 - M579)
</f>
        <v>14189</v>
      </c>
      <c r="O579" s="25" t="b">
        <f t="shared" si="5"/>
        <v>1</v>
      </c>
      <c r="P579" s="26" t="b">
        <f t="shared" si="6"/>
        <v>1</v>
      </c>
      <c r="Q579" s="27" t="b">
        <f t="shared" si="8"/>
        <v>0</v>
      </c>
    </row>
    <row r="580">
      <c r="F580" s="8">
        <v>577.0</v>
      </c>
      <c r="G580" s="11">
        <f t="shared" si="1"/>
        <v>1871875</v>
      </c>
      <c r="H580" s="9">
        <f>INT(IF(AND('Lån Översikt'!$D$7="JA", 'Lån Översikt'!$D$11="JA", 'Lån Översikt'!$D$8="JA"), (G580*(('Lån Översikt'!$C$7/100*'Lån Översikt'!$C$11/100)-'Lån Översikt'!$C$8/100))/12, IF(AND('Lån Översikt'!$D$7="JA", 'Lån Översikt'!$D$11="JA", 'Lån Översikt'!$D$8="NEJ"), (G580*(('Lån Översikt'!$C$7/100*'Lån Översikt'!$C$11/100))/12), 0)))
</f>
        <v>4784</v>
      </c>
      <c r="I580" s="8">
        <f t="shared" si="2"/>
        <v>4712</v>
      </c>
      <c r="J580" s="8">
        <f>IF(AND(P580, O580), 0, IF(O580, INT((('Lån Översikt'!$C$5 * 1 / 100) / 12)), INT((('Lån Översikt'!$C$5 * 'Lån Översikt'!$C$15 / 100) / 12))))
</f>
        <v>0</v>
      </c>
      <c r="K580" s="8">
        <f t="shared" si="3"/>
        <v>4166</v>
      </c>
      <c r="L580" s="8">
        <f t="shared" si="4"/>
        <v>13662</v>
      </c>
      <c r="M580" s="8">
        <f>(L580 + 'Lån Översikt'!$D$50)</f>
        <v>35611</v>
      </c>
      <c r="N580" s="8">
        <f>IF('Lån Översikt'!$D$22 = "JA", 
    IF(Q580 = TRUE, 'Lån Översikt'!$D$24 - M580, 'Lån Översikt'!$D$24 - M580 + 18300), 
    'Lån Översikt'!$D$24 - M580)
</f>
        <v>14189</v>
      </c>
      <c r="O580" s="25" t="b">
        <f t="shared" si="5"/>
        <v>1</v>
      </c>
      <c r="P580" s="26" t="b">
        <f t="shared" si="6"/>
        <v>1</v>
      </c>
      <c r="Q580" s="27" t="b">
        <f t="shared" si="8"/>
        <v>0</v>
      </c>
    </row>
    <row r="581">
      <c r="F581" s="8">
        <v>578.0</v>
      </c>
      <c r="G581" s="11">
        <f t="shared" si="1"/>
        <v>1871875</v>
      </c>
      <c r="H581" s="9">
        <f>INT(IF(AND('Lån Översikt'!$D$7="JA", 'Lån Översikt'!$D$11="JA", 'Lån Översikt'!$D$8="JA"), (G581*(('Lån Översikt'!$C$7/100*'Lån Översikt'!$C$11/100)-'Lån Översikt'!$C$8/100))/12, IF(AND('Lån Översikt'!$D$7="JA", 'Lån Översikt'!$D$11="JA", 'Lån Översikt'!$D$8="NEJ"), (G581*(('Lån Översikt'!$C$7/100*'Lån Översikt'!$C$11/100))/12), 0)))
</f>
        <v>4784</v>
      </c>
      <c r="I581" s="8">
        <f t="shared" si="2"/>
        <v>4712</v>
      </c>
      <c r="J581" s="8">
        <f>IF(AND(P581, O581), 0, IF(O581, INT((('Lån Översikt'!$C$5 * 1 / 100) / 12)), INT((('Lån Översikt'!$C$5 * 'Lån Översikt'!$C$15 / 100) / 12))))
</f>
        <v>0</v>
      </c>
      <c r="K581" s="8">
        <f t="shared" si="3"/>
        <v>4166</v>
      </c>
      <c r="L581" s="8">
        <f t="shared" si="4"/>
        <v>13662</v>
      </c>
      <c r="M581" s="8">
        <f>(L581 + 'Lån Översikt'!$D$50)</f>
        <v>35611</v>
      </c>
      <c r="N581" s="8">
        <f>IF('Lån Översikt'!$D$22 = "JA", 
    IF(Q581 = TRUE, 'Lån Översikt'!$D$24 - M581, 'Lån Översikt'!$D$24 - M581 + 18300), 
    'Lån Översikt'!$D$24 - M581)
</f>
        <v>14189</v>
      </c>
      <c r="O581" s="25" t="b">
        <f t="shared" si="5"/>
        <v>1</v>
      </c>
      <c r="P581" s="26" t="b">
        <f t="shared" si="6"/>
        <v>1</v>
      </c>
      <c r="Q581" s="27" t="b">
        <f t="shared" si="8"/>
        <v>0</v>
      </c>
    </row>
    <row r="582">
      <c r="F582" s="8">
        <v>579.0</v>
      </c>
      <c r="G582" s="11">
        <f t="shared" si="1"/>
        <v>1871875</v>
      </c>
      <c r="H582" s="9">
        <f>INT(IF(AND('Lån Översikt'!$D$7="JA", 'Lån Översikt'!$D$11="JA", 'Lån Översikt'!$D$8="JA"), (G582*(('Lån Översikt'!$C$7/100*'Lån Översikt'!$C$11/100)-'Lån Översikt'!$C$8/100))/12, IF(AND('Lån Översikt'!$D$7="JA", 'Lån Översikt'!$D$11="JA", 'Lån Översikt'!$D$8="NEJ"), (G582*(('Lån Översikt'!$C$7/100*'Lån Översikt'!$C$11/100))/12), 0)))
</f>
        <v>4784</v>
      </c>
      <c r="I582" s="8">
        <f t="shared" si="2"/>
        <v>4712</v>
      </c>
      <c r="J582" s="8">
        <f>IF(AND(P582, O582), 0, IF(O582, INT((('Lån Översikt'!$C$5 * 1 / 100) / 12)), INT((('Lån Översikt'!$C$5 * 'Lån Översikt'!$C$15 / 100) / 12))))
</f>
        <v>0</v>
      </c>
      <c r="K582" s="8">
        <f t="shared" si="3"/>
        <v>4166</v>
      </c>
      <c r="L582" s="8">
        <f t="shared" si="4"/>
        <v>13662</v>
      </c>
      <c r="M582" s="8">
        <f>(L582 + 'Lån Översikt'!$D$50)</f>
        <v>35611</v>
      </c>
      <c r="N582" s="8">
        <f>IF('Lån Översikt'!$D$22 = "JA", 
    IF(Q582 = TRUE, 'Lån Översikt'!$D$24 - M582, 'Lån Översikt'!$D$24 - M582 + 18300), 
    'Lån Översikt'!$D$24 - M582)
</f>
        <v>14189</v>
      </c>
      <c r="O582" s="25" t="b">
        <f t="shared" si="5"/>
        <v>1</v>
      </c>
      <c r="P582" s="26" t="b">
        <f t="shared" si="6"/>
        <v>1</v>
      </c>
      <c r="Q582" s="27" t="b">
        <f t="shared" si="8"/>
        <v>0</v>
      </c>
    </row>
    <row r="583">
      <c r="F583" s="8">
        <v>580.0</v>
      </c>
      <c r="G583" s="11">
        <f t="shared" si="1"/>
        <v>1871875</v>
      </c>
      <c r="H583" s="9">
        <f>INT(IF(AND('Lån Översikt'!$D$7="JA", 'Lån Översikt'!$D$11="JA", 'Lån Översikt'!$D$8="JA"), (G583*(('Lån Översikt'!$C$7/100*'Lån Översikt'!$C$11/100)-'Lån Översikt'!$C$8/100))/12, IF(AND('Lån Översikt'!$D$7="JA", 'Lån Översikt'!$D$11="JA", 'Lån Översikt'!$D$8="NEJ"), (G583*(('Lån Översikt'!$C$7/100*'Lån Översikt'!$C$11/100))/12), 0)))
</f>
        <v>4784</v>
      </c>
      <c r="I583" s="8">
        <f t="shared" si="2"/>
        <v>4712</v>
      </c>
      <c r="J583" s="8">
        <f>IF(AND(P583, O583), 0, IF(O583, INT((('Lån Översikt'!$C$5 * 1 / 100) / 12)), INT((('Lån Översikt'!$C$5 * 'Lån Översikt'!$C$15 / 100) / 12))))
</f>
        <v>0</v>
      </c>
      <c r="K583" s="8">
        <f t="shared" si="3"/>
        <v>4166</v>
      </c>
      <c r="L583" s="8">
        <f t="shared" si="4"/>
        <v>13662</v>
      </c>
      <c r="M583" s="8">
        <f>(L583 + 'Lån Översikt'!$D$50)</f>
        <v>35611</v>
      </c>
      <c r="N583" s="8">
        <f>IF('Lån Översikt'!$D$22 = "JA", 
    IF(Q583 = TRUE, 'Lån Översikt'!$D$24 - M583, 'Lån Översikt'!$D$24 - M583 + 18300), 
    'Lån Översikt'!$D$24 - M583)
</f>
        <v>14189</v>
      </c>
      <c r="O583" s="25" t="b">
        <f t="shared" si="5"/>
        <v>1</v>
      </c>
      <c r="P583" s="26" t="b">
        <f t="shared" si="6"/>
        <v>1</v>
      </c>
      <c r="Q583" s="27" t="b">
        <f t="shared" si="8"/>
        <v>0</v>
      </c>
    </row>
    <row r="584">
      <c r="F584" s="8">
        <v>581.0</v>
      </c>
      <c r="G584" s="11">
        <f t="shared" si="1"/>
        <v>1871875</v>
      </c>
      <c r="H584" s="9">
        <f>INT(IF(AND('Lån Översikt'!$D$7="JA", 'Lån Översikt'!$D$11="JA", 'Lån Översikt'!$D$8="JA"), (G584*(('Lån Översikt'!$C$7/100*'Lån Översikt'!$C$11/100)-'Lån Översikt'!$C$8/100))/12, IF(AND('Lån Översikt'!$D$7="JA", 'Lån Översikt'!$D$11="JA", 'Lån Översikt'!$D$8="NEJ"), (G584*(('Lån Översikt'!$C$7/100*'Lån Översikt'!$C$11/100))/12), 0)))
</f>
        <v>4784</v>
      </c>
      <c r="I584" s="8">
        <f t="shared" si="2"/>
        <v>4712</v>
      </c>
      <c r="J584" s="8">
        <f>IF(AND(P584, O584), 0, IF(O584, INT((('Lån Översikt'!$C$5 * 1 / 100) / 12)), INT((('Lån Översikt'!$C$5 * 'Lån Översikt'!$C$15 / 100) / 12))))
</f>
        <v>0</v>
      </c>
      <c r="K584" s="8">
        <f t="shared" si="3"/>
        <v>4166</v>
      </c>
      <c r="L584" s="8">
        <f t="shared" si="4"/>
        <v>13662</v>
      </c>
      <c r="M584" s="8">
        <f>(L584 + 'Lån Översikt'!$D$50)</f>
        <v>35611</v>
      </c>
      <c r="N584" s="8">
        <f>IF('Lån Översikt'!$D$22 = "JA", 
    IF(Q584 = TRUE, 'Lån Översikt'!$D$24 - M584, 'Lån Översikt'!$D$24 - M584 + 18300), 
    'Lån Översikt'!$D$24 - M584)
</f>
        <v>14189</v>
      </c>
      <c r="O584" s="25" t="b">
        <f t="shared" si="5"/>
        <v>1</v>
      </c>
      <c r="P584" s="26" t="b">
        <f t="shared" si="6"/>
        <v>1</v>
      </c>
      <c r="Q584" s="27" t="b">
        <f t="shared" si="8"/>
        <v>0</v>
      </c>
    </row>
    <row r="585">
      <c r="F585" s="8">
        <v>582.0</v>
      </c>
      <c r="G585" s="11">
        <f t="shared" si="1"/>
        <v>1871875</v>
      </c>
      <c r="H585" s="9">
        <f>INT(IF(AND('Lån Översikt'!$D$7="JA", 'Lån Översikt'!$D$11="JA", 'Lån Översikt'!$D$8="JA"), (G585*(('Lån Översikt'!$C$7/100*'Lån Översikt'!$C$11/100)-'Lån Översikt'!$C$8/100))/12, IF(AND('Lån Översikt'!$D$7="JA", 'Lån Översikt'!$D$11="JA", 'Lån Översikt'!$D$8="NEJ"), (G585*(('Lån Översikt'!$C$7/100*'Lån Översikt'!$C$11/100))/12), 0)))
</f>
        <v>4784</v>
      </c>
      <c r="I585" s="8">
        <f t="shared" si="2"/>
        <v>4712</v>
      </c>
      <c r="J585" s="8">
        <f>IF(AND(P585, O585), 0, IF(O585, INT((('Lån Översikt'!$C$5 * 1 / 100) / 12)), INT((('Lån Översikt'!$C$5 * 'Lån Översikt'!$C$15 / 100) / 12))))
</f>
        <v>0</v>
      </c>
      <c r="K585" s="8">
        <f t="shared" si="3"/>
        <v>4166</v>
      </c>
      <c r="L585" s="8">
        <f t="shared" si="4"/>
        <v>13662</v>
      </c>
      <c r="M585" s="8">
        <f>(L585 + 'Lån Översikt'!$D$50)</f>
        <v>35611</v>
      </c>
      <c r="N585" s="8">
        <f>IF('Lån Översikt'!$D$22 = "JA", 
    IF(Q585 = TRUE, 'Lån Översikt'!$D$24 - M585, 'Lån Översikt'!$D$24 - M585 + 18300), 
    'Lån Översikt'!$D$24 - M585)
</f>
        <v>14189</v>
      </c>
      <c r="O585" s="25" t="b">
        <f t="shared" si="5"/>
        <v>1</v>
      </c>
      <c r="P585" s="26" t="b">
        <f t="shared" si="6"/>
        <v>1</v>
      </c>
      <c r="Q585" s="27" t="b">
        <f t="shared" si="8"/>
        <v>0</v>
      </c>
    </row>
    <row r="586">
      <c r="F586" s="8">
        <v>583.0</v>
      </c>
      <c r="G586" s="11">
        <f t="shared" si="1"/>
        <v>1871875</v>
      </c>
      <c r="H586" s="9">
        <f>INT(IF(AND('Lån Översikt'!$D$7="JA", 'Lån Översikt'!$D$11="JA", 'Lån Översikt'!$D$8="JA"), (G586*(('Lån Översikt'!$C$7/100*'Lån Översikt'!$C$11/100)-'Lån Översikt'!$C$8/100))/12, IF(AND('Lån Översikt'!$D$7="JA", 'Lån Översikt'!$D$11="JA", 'Lån Översikt'!$D$8="NEJ"), (G586*(('Lån Översikt'!$C$7/100*'Lån Översikt'!$C$11/100))/12), 0)))
</f>
        <v>4784</v>
      </c>
      <c r="I586" s="8">
        <f t="shared" si="2"/>
        <v>4712</v>
      </c>
      <c r="J586" s="8">
        <f>IF(AND(P586, O586), 0, IF(O586, INT((('Lån Översikt'!$C$5 * 1 / 100) / 12)), INT((('Lån Översikt'!$C$5 * 'Lån Översikt'!$C$15 / 100) / 12))))
</f>
        <v>0</v>
      </c>
      <c r="K586" s="8">
        <f t="shared" si="3"/>
        <v>4166</v>
      </c>
      <c r="L586" s="8">
        <f t="shared" si="4"/>
        <v>13662</v>
      </c>
      <c r="M586" s="8">
        <f>(L586 + 'Lån Översikt'!$D$50)</f>
        <v>35611</v>
      </c>
      <c r="N586" s="8">
        <f>IF('Lån Översikt'!$D$22 = "JA", 
    IF(Q586 = TRUE, 'Lån Översikt'!$D$24 - M586, 'Lån Översikt'!$D$24 - M586 + 18300), 
    'Lån Översikt'!$D$24 - M586)
</f>
        <v>14189</v>
      </c>
      <c r="O586" s="25" t="b">
        <f t="shared" si="5"/>
        <v>1</v>
      </c>
      <c r="P586" s="26" t="b">
        <f t="shared" si="6"/>
        <v>1</v>
      </c>
      <c r="Q586" s="27" t="b">
        <f t="shared" si="8"/>
        <v>0</v>
      </c>
    </row>
    <row r="587">
      <c r="F587" s="8">
        <v>584.0</v>
      </c>
      <c r="G587" s="11">
        <f t="shared" si="1"/>
        <v>1871875</v>
      </c>
      <c r="H587" s="9">
        <f>INT(IF(AND('Lån Översikt'!$D$7="JA", 'Lån Översikt'!$D$11="JA", 'Lån Översikt'!$D$8="JA"), (G587*(('Lån Översikt'!$C$7/100*'Lån Översikt'!$C$11/100)-'Lån Översikt'!$C$8/100))/12, IF(AND('Lån Översikt'!$D$7="JA", 'Lån Översikt'!$D$11="JA", 'Lån Översikt'!$D$8="NEJ"), (G587*(('Lån Översikt'!$C$7/100*'Lån Översikt'!$C$11/100))/12), 0)))
</f>
        <v>4784</v>
      </c>
      <c r="I587" s="8">
        <f t="shared" si="2"/>
        <v>4712</v>
      </c>
      <c r="J587" s="8">
        <f>IF(AND(P587, O587), 0, IF(O587, INT((('Lån Översikt'!$C$5 * 1 / 100) / 12)), INT((('Lån Översikt'!$C$5 * 'Lån Översikt'!$C$15 / 100) / 12))))
</f>
        <v>0</v>
      </c>
      <c r="K587" s="8">
        <f t="shared" si="3"/>
        <v>4166</v>
      </c>
      <c r="L587" s="8">
        <f t="shared" si="4"/>
        <v>13662</v>
      </c>
      <c r="M587" s="8">
        <f>(L587 + 'Lån Översikt'!$D$50)</f>
        <v>35611</v>
      </c>
      <c r="N587" s="8">
        <f>IF('Lån Översikt'!$D$22 = "JA", 
    IF(Q587 = TRUE, 'Lån Översikt'!$D$24 - M587, 'Lån Översikt'!$D$24 - M587 + 18300), 
    'Lån Översikt'!$D$24 - M587)
</f>
        <v>14189</v>
      </c>
      <c r="O587" s="25" t="b">
        <f t="shared" si="5"/>
        <v>1</v>
      </c>
      <c r="P587" s="26" t="b">
        <f t="shared" si="6"/>
        <v>1</v>
      </c>
      <c r="Q587" s="27" t="b">
        <f t="shared" si="8"/>
        <v>0</v>
      </c>
    </row>
    <row r="588">
      <c r="F588" s="8">
        <v>585.0</v>
      </c>
      <c r="G588" s="11">
        <f t="shared" si="1"/>
        <v>1871875</v>
      </c>
      <c r="H588" s="9">
        <f>INT(IF(AND('Lån Översikt'!$D$7="JA", 'Lån Översikt'!$D$11="JA", 'Lån Översikt'!$D$8="JA"), (G588*(('Lån Översikt'!$C$7/100*'Lån Översikt'!$C$11/100)-'Lån Översikt'!$C$8/100))/12, IF(AND('Lån Översikt'!$D$7="JA", 'Lån Översikt'!$D$11="JA", 'Lån Översikt'!$D$8="NEJ"), (G588*(('Lån Översikt'!$C$7/100*'Lån Översikt'!$C$11/100))/12), 0)))
</f>
        <v>4784</v>
      </c>
      <c r="I588" s="8">
        <f t="shared" si="2"/>
        <v>4712</v>
      </c>
      <c r="J588" s="8">
        <f>IF(AND(P588, O588), 0, IF(O588, INT((('Lån Översikt'!$C$5 * 1 / 100) / 12)), INT((('Lån Översikt'!$C$5 * 'Lån Översikt'!$C$15 / 100) / 12))))
</f>
        <v>0</v>
      </c>
      <c r="K588" s="8">
        <f t="shared" si="3"/>
        <v>4166</v>
      </c>
      <c r="L588" s="8">
        <f t="shared" si="4"/>
        <v>13662</v>
      </c>
      <c r="M588" s="8">
        <f>(L588 + 'Lån Översikt'!$D$50)</f>
        <v>35611</v>
      </c>
      <c r="N588" s="8">
        <f>IF('Lån Översikt'!$D$22 = "JA", 
    IF(Q588 = TRUE, 'Lån Översikt'!$D$24 - M588, 'Lån Översikt'!$D$24 - M588 + 18300), 
    'Lån Översikt'!$D$24 - M588)
</f>
        <v>14189</v>
      </c>
      <c r="O588" s="25" t="b">
        <f t="shared" si="5"/>
        <v>1</v>
      </c>
      <c r="P588" s="26" t="b">
        <f t="shared" si="6"/>
        <v>1</v>
      </c>
      <c r="Q588" s="27" t="b">
        <f t="shared" si="8"/>
        <v>0</v>
      </c>
    </row>
    <row r="589">
      <c r="F589" s="8">
        <v>586.0</v>
      </c>
      <c r="G589" s="11">
        <f t="shared" si="1"/>
        <v>1871875</v>
      </c>
      <c r="H589" s="9">
        <f>INT(IF(AND('Lån Översikt'!$D$7="JA", 'Lån Översikt'!$D$11="JA", 'Lån Översikt'!$D$8="JA"), (G589*(('Lån Översikt'!$C$7/100*'Lån Översikt'!$C$11/100)-'Lån Översikt'!$C$8/100))/12, IF(AND('Lån Översikt'!$D$7="JA", 'Lån Översikt'!$D$11="JA", 'Lån Översikt'!$D$8="NEJ"), (G589*(('Lån Översikt'!$C$7/100*'Lån Översikt'!$C$11/100))/12), 0)))
</f>
        <v>4784</v>
      </c>
      <c r="I589" s="8">
        <f t="shared" si="2"/>
        <v>4712</v>
      </c>
      <c r="J589" s="8">
        <f>IF(AND(P589, O589), 0, IF(O589, INT((('Lån Översikt'!$C$5 * 1 / 100) / 12)), INT((('Lån Översikt'!$C$5 * 'Lån Översikt'!$C$15 / 100) / 12))))
</f>
        <v>0</v>
      </c>
      <c r="K589" s="8">
        <f t="shared" si="3"/>
        <v>4166</v>
      </c>
      <c r="L589" s="8">
        <f t="shared" si="4"/>
        <v>13662</v>
      </c>
      <c r="M589" s="8">
        <f>(L589 + 'Lån Översikt'!$D$50)</f>
        <v>35611</v>
      </c>
      <c r="N589" s="8">
        <f>IF('Lån Översikt'!$D$22 = "JA", 
    IF(Q589 = TRUE, 'Lån Översikt'!$D$24 - M589, 'Lån Översikt'!$D$24 - M589 + 18300), 
    'Lån Översikt'!$D$24 - M589)
</f>
        <v>14189</v>
      </c>
      <c r="O589" s="25" t="b">
        <f t="shared" si="5"/>
        <v>1</v>
      </c>
      <c r="P589" s="26" t="b">
        <f t="shared" si="6"/>
        <v>1</v>
      </c>
      <c r="Q589" s="27" t="b">
        <f t="shared" si="8"/>
        <v>0</v>
      </c>
    </row>
    <row r="590">
      <c r="F590" s="8">
        <v>587.0</v>
      </c>
      <c r="G590" s="11">
        <f t="shared" si="1"/>
        <v>1871875</v>
      </c>
      <c r="H590" s="9">
        <f>INT(IF(AND('Lån Översikt'!$D$7="JA", 'Lån Översikt'!$D$11="JA", 'Lån Översikt'!$D$8="JA"), (G590*(('Lån Översikt'!$C$7/100*'Lån Översikt'!$C$11/100)-'Lån Översikt'!$C$8/100))/12, IF(AND('Lån Översikt'!$D$7="JA", 'Lån Översikt'!$D$11="JA", 'Lån Översikt'!$D$8="NEJ"), (G590*(('Lån Översikt'!$C$7/100*'Lån Översikt'!$C$11/100))/12), 0)))
</f>
        <v>4784</v>
      </c>
      <c r="I590" s="8">
        <f t="shared" si="2"/>
        <v>4712</v>
      </c>
      <c r="J590" s="8">
        <f>IF(AND(P590, O590), 0, IF(O590, INT((('Lån Översikt'!$C$5 * 1 / 100) / 12)), INT((('Lån Översikt'!$C$5 * 'Lån Översikt'!$C$15 / 100) / 12))))
</f>
        <v>0</v>
      </c>
      <c r="K590" s="8">
        <f t="shared" si="3"/>
        <v>4166</v>
      </c>
      <c r="L590" s="8">
        <f t="shared" si="4"/>
        <v>13662</v>
      </c>
      <c r="M590" s="8">
        <f>(L590 + 'Lån Översikt'!$D$50)</f>
        <v>35611</v>
      </c>
      <c r="N590" s="8">
        <f>IF('Lån Översikt'!$D$22 = "JA", 
    IF(Q590 = TRUE, 'Lån Översikt'!$D$24 - M590, 'Lån Översikt'!$D$24 - M590 + 18300), 
    'Lån Översikt'!$D$24 - M590)
</f>
        <v>14189</v>
      </c>
      <c r="O590" s="25" t="b">
        <f t="shared" si="5"/>
        <v>1</v>
      </c>
      <c r="P590" s="26" t="b">
        <f t="shared" si="6"/>
        <v>1</v>
      </c>
      <c r="Q590" s="27" t="b">
        <f t="shared" si="8"/>
        <v>0</v>
      </c>
    </row>
    <row r="591">
      <c r="F591" s="8">
        <v>588.0</v>
      </c>
      <c r="G591" s="11">
        <f t="shared" si="1"/>
        <v>1871875</v>
      </c>
      <c r="H591" s="9">
        <f>INT(IF(AND('Lån Översikt'!$D$7="JA", 'Lån Översikt'!$D$11="JA", 'Lån Översikt'!$D$8="JA"), (G591*(('Lån Översikt'!$C$7/100*'Lån Översikt'!$C$11/100)-'Lån Översikt'!$C$8/100))/12, IF(AND('Lån Översikt'!$D$7="JA", 'Lån Översikt'!$D$11="JA", 'Lån Översikt'!$D$8="NEJ"), (G591*(('Lån Översikt'!$C$7/100*'Lån Översikt'!$C$11/100))/12), 0)))
</f>
        <v>4784</v>
      </c>
      <c r="I591" s="8">
        <f t="shared" si="2"/>
        <v>4712</v>
      </c>
      <c r="J591" s="8">
        <f>IF(AND(P591, O591), 0, IF(O591, INT((('Lån Översikt'!$C$5 * 1 / 100) / 12)), INT((('Lån Översikt'!$C$5 * 'Lån Översikt'!$C$15 / 100) / 12))))
</f>
        <v>0</v>
      </c>
      <c r="K591" s="8">
        <f t="shared" si="3"/>
        <v>4166</v>
      </c>
      <c r="L591" s="8">
        <f t="shared" si="4"/>
        <v>13662</v>
      </c>
      <c r="M591" s="8">
        <f>(L591 + 'Lån Översikt'!$D$50)</f>
        <v>35611</v>
      </c>
      <c r="N591" s="8">
        <f>IF('Lån Översikt'!$D$22 = "JA", 
    IF(Q591 = TRUE, 'Lån Översikt'!$D$24 - M591, 'Lån Översikt'!$D$24 - M591 + 18300), 
    'Lån Översikt'!$D$24 - M591)
</f>
        <v>14189</v>
      </c>
      <c r="O591" s="25" t="b">
        <f t="shared" si="5"/>
        <v>1</v>
      </c>
      <c r="P591" s="26" t="b">
        <f t="shared" si="6"/>
        <v>1</v>
      </c>
      <c r="Q591" s="27" t="b">
        <f t="shared" si="8"/>
        <v>0</v>
      </c>
    </row>
    <row r="592">
      <c r="F592" s="8">
        <v>589.0</v>
      </c>
      <c r="G592" s="11">
        <f t="shared" si="1"/>
        <v>1871875</v>
      </c>
      <c r="H592" s="9">
        <f>INT(IF(AND('Lån Översikt'!$D$7="JA", 'Lån Översikt'!$D$11="JA", 'Lån Översikt'!$D$8="JA"), (G592*(('Lån Översikt'!$C$7/100*'Lån Översikt'!$C$11/100)-'Lån Översikt'!$C$8/100))/12, IF(AND('Lån Översikt'!$D$7="JA", 'Lån Översikt'!$D$11="JA", 'Lån Översikt'!$D$8="NEJ"), (G592*(('Lån Översikt'!$C$7/100*'Lån Översikt'!$C$11/100))/12), 0)))
</f>
        <v>4784</v>
      </c>
      <c r="I592" s="8">
        <f t="shared" si="2"/>
        <v>4712</v>
      </c>
      <c r="J592" s="8">
        <f>IF(AND(P592, O592), 0, IF(O592, INT((('Lån Översikt'!$C$5 * 1 / 100) / 12)), INT((('Lån Översikt'!$C$5 * 'Lån Översikt'!$C$15 / 100) / 12))))
</f>
        <v>0</v>
      </c>
      <c r="K592" s="8">
        <f t="shared" si="3"/>
        <v>4166</v>
      </c>
      <c r="L592" s="8">
        <f t="shared" si="4"/>
        <v>13662</v>
      </c>
      <c r="M592" s="8">
        <f>(L592 + 'Lån Översikt'!$D$50)</f>
        <v>35611</v>
      </c>
      <c r="N592" s="8">
        <f>IF('Lån Översikt'!$D$22 = "JA", 
    IF(Q592 = TRUE, 'Lån Översikt'!$D$24 - M592, 'Lån Översikt'!$D$24 - M592 + 18300), 
    'Lån Översikt'!$D$24 - M592)
</f>
        <v>14189</v>
      </c>
      <c r="O592" s="25" t="b">
        <f t="shared" si="5"/>
        <v>1</v>
      </c>
      <c r="P592" s="26" t="b">
        <f t="shared" si="6"/>
        <v>1</v>
      </c>
      <c r="Q592" s="27" t="b">
        <f t="shared" si="8"/>
        <v>0</v>
      </c>
    </row>
    <row r="593">
      <c r="F593" s="8">
        <v>590.0</v>
      </c>
      <c r="G593" s="11">
        <f t="shared" si="1"/>
        <v>1871875</v>
      </c>
      <c r="H593" s="9">
        <f>INT(IF(AND('Lån Översikt'!$D$7="JA", 'Lån Översikt'!$D$11="JA", 'Lån Översikt'!$D$8="JA"), (G593*(('Lån Översikt'!$C$7/100*'Lån Översikt'!$C$11/100)-'Lån Översikt'!$C$8/100))/12, IF(AND('Lån Översikt'!$D$7="JA", 'Lån Översikt'!$D$11="JA", 'Lån Översikt'!$D$8="NEJ"), (G593*(('Lån Översikt'!$C$7/100*'Lån Översikt'!$C$11/100))/12), 0)))
</f>
        <v>4784</v>
      </c>
      <c r="I593" s="8">
        <f t="shared" si="2"/>
        <v>4712</v>
      </c>
      <c r="J593" s="8">
        <f>IF(AND(P593, O593), 0, IF(O593, INT((('Lån Översikt'!$C$5 * 1 / 100) / 12)), INT((('Lån Översikt'!$C$5 * 'Lån Översikt'!$C$15 / 100) / 12))))
</f>
        <v>0</v>
      </c>
      <c r="K593" s="8">
        <f t="shared" si="3"/>
        <v>4166</v>
      </c>
      <c r="L593" s="8">
        <f t="shared" si="4"/>
        <v>13662</v>
      </c>
      <c r="M593" s="8">
        <f>(L593 + 'Lån Översikt'!$D$50)</f>
        <v>35611</v>
      </c>
      <c r="N593" s="8">
        <f>IF('Lån Översikt'!$D$22 = "JA", 
    IF(Q593 = TRUE, 'Lån Översikt'!$D$24 - M593, 'Lån Översikt'!$D$24 - M593 + 18300), 
    'Lån Översikt'!$D$24 - M593)
</f>
        <v>14189</v>
      </c>
      <c r="O593" s="25" t="b">
        <f t="shared" si="5"/>
        <v>1</v>
      </c>
      <c r="P593" s="26" t="b">
        <f t="shared" si="6"/>
        <v>1</v>
      </c>
      <c r="Q593" s="27" t="b">
        <f t="shared" si="8"/>
        <v>0</v>
      </c>
    </row>
    <row r="594">
      <c r="F594" s="8">
        <v>591.0</v>
      </c>
      <c r="G594" s="11">
        <f t="shared" si="1"/>
        <v>1871875</v>
      </c>
      <c r="H594" s="9">
        <f>INT(IF(AND('Lån Översikt'!$D$7="JA", 'Lån Översikt'!$D$11="JA", 'Lån Översikt'!$D$8="JA"), (G594*(('Lån Översikt'!$C$7/100*'Lån Översikt'!$C$11/100)-'Lån Översikt'!$C$8/100))/12, IF(AND('Lån Översikt'!$D$7="JA", 'Lån Översikt'!$D$11="JA", 'Lån Översikt'!$D$8="NEJ"), (G594*(('Lån Översikt'!$C$7/100*'Lån Översikt'!$C$11/100))/12), 0)))
</f>
        <v>4784</v>
      </c>
      <c r="I594" s="8">
        <f t="shared" si="2"/>
        <v>4712</v>
      </c>
      <c r="J594" s="8">
        <f>IF(AND(P594, O594), 0, IF(O594, INT((('Lån Översikt'!$C$5 * 1 / 100) / 12)), INT((('Lån Översikt'!$C$5 * 'Lån Översikt'!$C$15 / 100) / 12))))
</f>
        <v>0</v>
      </c>
      <c r="K594" s="8">
        <f t="shared" si="3"/>
        <v>4166</v>
      </c>
      <c r="L594" s="8">
        <f t="shared" si="4"/>
        <v>13662</v>
      </c>
      <c r="M594" s="8">
        <f>(L594 + 'Lån Översikt'!$D$50)</f>
        <v>35611</v>
      </c>
      <c r="N594" s="8">
        <f>IF('Lån Översikt'!$D$22 = "JA", 
    IF(Q594 = TRUE, 'Lån Översikt'!$D$24 - M594, 'Lån Översikt'!$D$24 - M594 + 18300), 
    'Lån Översikt'!$D$24 - M594)
</f>
        <v>14189</v>
      </c>
      <c r="O594" s="25" t="b">
        <f t="shared" si="5"/>
        <v>1</v>
      </c>
      <c r="P594" s="26" t="b">
        <f t="shared" si="6"/>
        <v>1</v>
      </c>
      <c r="Q594" s="27" t="b">
        <f t="shared" si="8"/>
        <v>0</v>
      </c>
    </row>
    <row r="595">
      <c r="F595" s="8">
        <v>592.0</v>
      </c>
      <c r="G595" s="11">
        <f t="shared" si="1"/>
        <v>1871875</v>
      </c>
      <c r="H595" s="9">
        <f>INT(IF(AND('Lån Översikt'!$D$7="JA", 'Lån Översikt'!$D$11="JA", 'Lån Översikt'!$D$8="JA"), (G595*(('Lån Översikt'!$C$7/100*'Lån Översikt'!$C$11/100)-'Lån Översikt'!$C$8/100))/12, IF(AND('Lån Översikt'!$D$7="JA", 'Lån Översikt'!$D$11="JA", 'Lån Översikt'!$D$8="NEJ"), (G595*(('Lån Översikt'!$C$7/100*'Lån Översikt'!$C$11/100))/12), 0)))
</f>
        <v>4784</v>
      </c>
      <c r="I595" s="8">
        <f t="shared" si="2"/>
        <v>4712</v>
      </c>
      <c r="J595" s="8">
        <f>IF(AND(P595, O595), 0, IF(O595, INT((('Lån Översikt'!$C$5 * 1 / 100) / 12)), INT((('Lån Översikt'!$C$5 * 'Lån Översikt'!$C$15 / 100) / 12))))
</f>
        <v>0</v>
      </c>
      <c r="K595" s="8">
        <f t="shared" si="3"/>
        <v>4166</v>
      </c>
      <c r="L595" s="8">
        <f t="shared" si="4"/>
        <v>13662</v>
      </c>
      <c r="M595" s="8">
        <f>(L595 + 'Lån Översikt'!$D$50)</f>
        <v>35611</v>
      </c>
      <c r="N595" s="8">
        <f>IF('Lån Översikt'!$D$22 = "JA", 
    IF(Q595 = TRUE, 'Lån Översikt'!$D$24 - M595, 'Lån Översikt'!$D$24 - M595 + 18300), 
    'Lån Översikt'!$D$24 - M595)
</f>
        <v>14189</v>
      </c>
      <c r="O595" s="25" t="b">
        <f t="shared" si="5"/>
        <v>1</v>
      </c>
      <c r="P595" s="26" t="b">
        <f t="shared" si="6"/>
        <v>1</v>
      </c>
      <c r="Q595" s="27" t="b">
        <f t="shared" si="8"/>
        <v>0</v>
      </c>
    </row>
    <row r="596">
      <c r="F596" s="8">
        <v>593.0</v>
      </c>
      <c r="G596" s="11">
        <f t="shared" si="1"/>
        <v>1871875</v>
      </c>
      <c r="H596" s="9">
        <f>INT(IF(AND('Lån Översikt'!$D$7="JA", 'Lån Översikt'!$D$11="JA", 'Lån Översikt'!$D$8="JA"), (G596*(('Lån Översikt'!$C$7/100*'Lån Översikt'!$C$11/100)-'Lån Översikt'!$C$8/100))/12, IF(AND('Lån Översikt'!$D$7="JA", 'Lån Översikt'!$D$11="JA", 'Lån Översikt'!$D$8="NEJ"), (G596*(('Lån Översikt'!$C$7/100*'Lån Översikt'!$C$11/100))/12), 0)))
</f>
        <v>4784</v>
      </c>
      <c r="I596" s="8">
        <f t="shared" si="2"/>
        <v>4712</v>
      </c>
      <c r="J596" s="8">
        <f>IF(AND(P596, O596), 0, IF(O596, INT((('Lån Översikt'!$C$5 * 1 / 100) / 12)), INT((('Lån Översikt'!$C$5 * 'Lån Översikt'!$C$15 / 100) / 12))))
</f>
        <v>0</v>
      </c>
      <c r="K596" s="8">
        <f t="shared" si="3"/>
        <v>4166</v>
      </c>
      <c r="L596" s="8">
        <f t="shared" si="4"/>
        <v>13662</v>
      </c>
      <c r="M596" s="8">
        <f>(L596 + 'Lån Översikt'!$D$50)</f>
        <v>35611</v>
      </c>
      <c r="N596" s="8">
        <f>IF('Lån Översikt'!$D$22 = "JA", 
    IF(Q596 = TRUE, 'Lån Översikt'!$D$24 - M596, 'Lån Översikt'!$D$24 - M596 + 18300), 
    'Lån Översikt'!$D$24 - M596)
</f>
        <v>14189</v>
      </c>
      <c r="O596" s="25" t="b">
        <f t="shared" si="5"/>
        <v>1</v>
      </c>
      <c r="P596" s="26" t="b">
        <f t="shared" si="6"/>
        <v>1</v>
      </c>
      <c r="Q596" s="27" t="b">
        <f t="shared" si="8"/>
        <v>0</v>
      </c>
    </row>
    <row r="597">
      <c r="F597" s="8">
        <v>594.0</v>
      </c>
      <c r="G597" s="11">
        <f t="shared" si="1"/>
        <v>1871875</v>
      </c>
      <c r="H597" s="9">
        <f>INT(IF(AND('Lån Översikt'!$D$7="JA", 'Lån Översikt'!$D$11="JA", 'Lån Översikt'!$D$8="JA"), (G597*(('Lån Översikt'!$C$7/100*'Lån Översikt'!$C$11/100)-'Lån Översikt'!$C$8/100))/12, IF(AND('Lån Översikt'!$D$7="JA", 'Lån Översikt'!$D$11="JA", 'Lån Översikt'!$D$8="NEJ"), (G597*(('Lån Översikt'!$C$7/100*'Lån Översikt'!$C$11/100))/12), 0)))
</f>
        <v>4784</v>
      </c>
      <c r="I597" s="8">
        <f t="shared" si="2"/>
        <v>4712</v>
      </c>
      <c r="J597" s="8">
        <f>IF(AND(P597, O597), 0, IF(O597, INT((('Lån Översikt'!$C$5 * 1 / 100) / 12)), INT((('Lån Översikt'!$C$5 * 'Lån Översikt'!$C$15 / 100) / 12))))
</f>
        <v>0</v>
      </c>
      <c r="K597" s="8">
        <f t="shared" si="3"/>
        <v>4166</v>
      </c>
      <c r="L597" s="8">
        <f t="shared" si="4"/>
        <v>13662</v>
      </c>
      <c r="M597" s="8">
        <f>(L597 + 'Lån Översikt'!$D$50)</f>
        <v>35611</v>
      </c>
      <c r="N597" s="8">
        <f>IF('Lån Översikt'!$D$22 = "JA", 
    IF(Q597 = TRUE, 'Lån Översikt'!$D$24 - M597, 'Lån Översikt'!$D$24 - M597 + 18300), 
    'Lån Översikt'!$D$24 - M597)
</f>
        <v>14189</v>
      </c>
      <c r="O597" s="25" t="b">
        <f t="shared" si="5"/>
        <v>1</v>
      </c>
      <c r="P597" s="26" t="b">
        <f t="shared" si="6"/>
        <v>1</v>
      </c>
      <c r="Q597" s="27" t="b">
        <f t="shared" si="8"/>
        <v>0</v>
      </c>
    </row>
    <row r="598">
      <c r="F598" s="8">
        <v>595.0</v>
      </c>
      <c r="G598" s="11">
        <f t="shared" si="1"/>
        <v>1871875</v>
      </c>
      <c r="H598" s="9">
        <f>INT(IF(AND('Lån Översikt'!$D$7="JA", 'Lån Översikt'!$D$11="JA", 'Lån Översikt'!$D$8="JA"), (G598*(('Lån Översikt'!$C$7/100*'Lån Översikt'!$C$11/100)-'Lån Översikt'!$C$8/100))/12, IF(AND('Lån Översikt'!$D$7="JA", 'Lån Översikt'!$D$11="JA", 'Lån Översikt'!$D$8="NEJ"), (G598*(('Lån Översikt'!$C$7/100*'Lån Översikt'!$C$11/100))/12), 0)))
</f>
        <v>4784</v>
      </c>
      <c r="I598" s="8">
        <f t="shared" si="2"/>
        <v>4712</v>
      </c>
      <c r="J598" s="8">
        <f>IF(AND(P598, O598), 0, IF(O598, INT((('Lån Översikt'!$C$5 * 1 / 100) / 12)), INT((('Lån Översikt'!$C$5 * 'Lån Översikt'!$C$15 / 100) / 12))))
</f>
        <v>0</v>
      </c>
      <c r="K598" s="8">
        <f t="shared" si="3"/>
        <v>4166</v>
      </c>
      <c r="L598" s="8">
        <f t="shared" si="4"/>
        <v>13662</v>
      </c>
      <c r="M598" s="8">
        <f>(L598 + 'Lån Översikt'!$D$50)</f>
        <v>35611</v>
      </c>
      <c r="N598" s="8">
        <f>IF('Lån Översikt'!$D$22 = "JA", 
    IF(Q598 = TRUE, 'Lån Översikt'!$D$24 - M598, 'Lån Översikt'!$D$24 - M598 + 18300), 
    'Lån Översikt'!$D$24 - M598)
</f>
        <v>14189</v>
      </c>
      <c r="O598" s="25" t="b">
        <f t="shared" si="5"/>
        <v>1</v>
      </c>
      <c r="P598" s="26" t="b">
        <f t="shared" si="6"/>
        <v>1</v>
      </c>
      <c r="Q598" s="27" t="b">
        <f t="shared" si="8"/>
        <v>0</v>
      </c>
    </row>
    <row r="599">
      <c r="F599" s="8">
        <v>596.0</v>
      </c>
      <c r="G599" s="11">
        <f t="shared" si="1"/>
        <v>1871875</v>
      </c>
      <c r="H599" s="9">
        <f>INT(IF(AND('Lån Översikt'!$D$7="JA", 'Lån Översikt'!$D$11="JA", 'Lån Översikt'!$D$8="JA"), (G599*(('Lån Översikt'!$C$7/100*'Lån Översikt'!$C$11/100)-'Lån Översikt'!$C$8/100))/12, IF(AND('Lån Översikt'!$D$7="JA", 'Lån Översikt'!$D$11="JA", 'Lån Översikt'!$D$8="NEJ"), (G599*(('Lån Översikt'!$C$7/100*'Lån Översikt'!$C$11/100))/12), 0)))
</f>
        <v>4784</v>
      </c>
      <c r="I599" s="8">
        <f t="shared" si="2"/>
        <v>4712</v>
      </c>
      <c r="J599" s="8">
        <f>IF(AND(P599, O599), 0, IF(O599, INT((('Lån Översikt'!$C$5 * 1 / 100) / 12)), INT((('Lån Översikt'!$C$5 * 'Lån Översikt'!$C$15 / 100) / 12))))
</f>
        <v>0</v>
      </c>
      <c r="K599" s="8">
        <f t="shared" si="3"/>
        <v>4166</v>
      </c>
      <c r="L599" s="8">
        <f t="shared" si="4"/>
        <v>13662</v>
      </c>
      <c r="M599" s="8">
        <f>(L599 + 'Lån Översikt'!$D$50)</f>
        <v>35611</v>
      </c>
      <c r="N599" s="8">
        <f>IF('Lån Översikt'!$D$22 = "JA", 
    IF(Q599 = TRUE, 'Lån Översikt'!$D$24 - M599, 'Lån Översikt'!$D$24 - M599 + 18300), 
    'Lån Översikt'!$D$24 - M599)
</f>
        <v>14189</v>
      </c>
      <c r="O599" s="25" t="b">
        <f t="shared" si="5"/>
        <v>1</v>
      </c>
      <c r="P599" s="26" t="b">
        <f t="shared" si="6"/>
        <v>1</v>
      </c>
      <c r="Q599" s="27" t="b">
        <f t="shared" si="8"/>
        <v>0</v>
      </c>
    </row>
    <row r="600">
      <c r="F600" s="8">
        <v>597.0</v>
      </c>
      <c r="G600" s="11">
        <f t="shared" si="1"/>
        <v>1871875</v>
      </c>
      <c r="H600" s="9">
        <f>INT(IF(AND('Lån Översikt'!$D$7="JA", 'Lån Översikt'!$D$11="JA", 'Lån Översikt'!$D$8="JA"), (G600*(('Lån Översikt'!$C$7/100*'Lån Översikt'!$C$11/100)-'Lån Översikt'!$C$8/100))/12, IF(AND('Lån Översikt'!$D$7="JA", 'Lån Översikt'!$D$11="JA", 'Lån Översikt'!$D$8="NEJ"), (G600*(('Lån Översikt'!$C$7/100*'Lån Översikt'!$C$11/100))/12), 0)))
</f>
        <v>4784</v>
      </c>
      <c r="I600" s="8">
        <f t="shared" si="2"/>
        <v>4712</v>
      </c>
      <c r="J600" s="8">
        <f>IF(AND(P600, O600), 0, IF(O600, INT((('Lån Översikt'!$C$5 * 1 / 100) / 12)), INT((('Lån Översikt'!$C$5 * 'Lån Översikt'!$C$15 / 100) / 12))))
</f>
        <v>0</v>
      </c>
      <c r="K600" s="8">
        <f t="shared" si="3"/>
        <v>4166</v>
      </c>
      <c r="L600" s="8">
        <f t="shared" si="4"/>
        <v>13662</v>
      </c>
      <c r="M600" s="8">
        <f>(L600 + 'Lån Översikt'!$D$50)</f>
        <v>35611</v>
      </c>
      <c r="N600" s="8">
        <f>IF('Lån Översikt'!$D$22 = "JA", 
    IF(Q600 = TRUE, 'Lån Översikt'!$D$24 - M600, 'Lån Översikt'!$D$24 - M600 + 18300), 
    'Lån Översikt'!$D$24 - M600)
</f>
        <v>14189</v>
      </c>
      <c r="O600" s="25" t="b">
        <f t="shared" si="5"/>
        <v>1</v>
      </c>
      <c r="P600" s="26" t="b">
        <f t="shared" si="6"/>
        <v>1</v>
      </c>
      <c r="Q600" s="27" t="b">
        <f t="shared" si="8"/>
        <v>0</v>
      </c>
    </row>
    <row r="601">
      <c r="F601" s="8">
        <v>598.0</v>
      </c>
      <c r="G601" s="11">
        <f t="shared" si="1"/>
        <v>1871875</v>
      </c>
      <c r="H601" s="9">
        <f>INT(IF(AND('Lån Översikt'!$D$7="JA", 'Lån Översikt'!$D$11="JA", 'Lån Översikt'!$D$8="JA"), (G601*(('Lån Översikt'!$C$7/100*'Lån Översikt'!$C$11/100)-'Lån Översikt'!$C$8/100))/12, IF(AND('Lån Översikt'!$D$7="JA", 'Lån Översikt'!$D$11="JA", 'Lån Översikt'!$D$8="NEJ"), (G601*(('Lån Översikt'!$C$7/100*'Lån Översikt'!$C$11/100))/12), 0)))
</f>
        <v>4784</v>
      </c>
      <c r="I601" s="8">
        <f t="shared" si="2"/>
        <v>4712</v>
      </c>
      <c r="J601" s="8">
        <f>IF(AND(P601, O601), 0, IF(O601, INT((('Lån Översikt'!$C$5 * 1 / 100) / 12)), INT((('Lån Översikt'!$C$5 * 'Lån Översikt'!$C$15 / 100) / 12))))
</f>
        <v>0</v>
      </c>
      <c r="K601" s="8">
        <f t="shared" si="3"/>
        <v>4166</v>
      </c>
      <c r="L601" s="8">
        <f t="shared" si="4"/>
        <v>13662</v>
      </c>
      <c r="M601" s="8">
        <f>(L601 + 'Lån Översikt'!$D$50)</f>
        <v>35611</v>
      </c>
      <c r="N601" s="8">
        <f>IF('Lån Översikt'!$D$22 = "JA", 
    IF(Q601 = TRUE, 'Lån Översikt'!$D$24 - M601, 'Lån Översikt'!$D$24 - M601 + 18300), 
    'Lån Översikt'!$D$24 - M601)
</f>
        <v>14189</v>
      </c>
      <c r="O601" s="25" t="b">
        <f t="shared" si="5"/>
        <v>1</v>
      </c>
      <c r="P601" s="26" t="b">
        <f t="shared" si="6"/>
        <v>1</v>
      </c>
      <c r="Q601" s="27" t="b">
        <f t="shared" si="8"/>
        <v>0</v>
      </c>
    </row>
    <row r="602">
      <c r="F602" s="8">
        <v>599.0</v>
      </c>
      <c r="G602" s="11">
        <f t="shared" si="1"/>
        <v>1871875</v>
      </c>
      <c r="H602" s="9">
        <f>INT(IF(AND('Lån Översikt'!$D$7="JA", 'Lån Översikt'!$D$11="JA", 'Lån Översikt'!$D$8="JA"), (G602*(('Lån Översikt'!$C$7/100*'Lån Översikt'!$C$11/100)-'Lån Översikt'!$C$8/100))/12, IF(AND('Lån Översikt'!$D$7="JA", 'Lån Översikt'!$D$11="JA", 'Lån Översikt'!$D$8="NEJ"), (G602*(('Lån Översikt'!$C$7/100*'Lån Översikt'!$C$11/100))/12), 0)))
</f>
        <v>4784</v>
      </c>
      <c r="I602" s="8">
        <f t="shared" si="2"/>
        <v>4712</v>
      </c>
      <c r="J602" s="8">
        <f>IF(AND(P602, O602), 0, IF(O602, INT((('Lån Översikt'!$C$5 * 1 / 100) / 12)), INT((('Lån Översikt'!$C$5 * 'Lån Översikt'!$C$15 / 100) / 12))))
</f>
        <v>0</v>
      </c>
      <c r="K602" s="8">
        <f t="shared" si="3"/>
        <v>4166</v>
      </c>
      <c r="L602" s="8">
        <f t="shared" si="4"/>
        <v>13662</v>
      </c>
      <c r="M602" s="8">
        <f>(L602 + 'Lån Översikt'!$D$50)</f>
        <v>35611</v>
      </c>
      <c r="N602" s="8">
        <f>IF('Lån Översikt'!$D$22 = "JA", 
    IF(Q602 = TRUE, 'Lån Översikt'!$D$24 - M602, 'Lån Översikt'!$D$24 - M602 + 18300), 
    'Lån Översikt'!$D$24 - M602)
</f>
        <v>14189</v>
      </c>
      <c r="O602" s="25" t="b">
        <f t="shared" si="5"/>
        <v>1</v>
      </c>
      <c r="P602" s="26" t="b">
        <f t="shared" si="6"/>
        <v>1</v>
      </c>
      <c r="Q602" s="27" t="b">
        <f t="shared" si="8"/>
        <v>0</v>
      </c>
    </row>
    <row r="603">
      <c r="F603" s="8">
        <v>600.0</v>
      </c>
      <c r="G603" s="11">
        <f t="shared" si="1"/>
        <v>1871875</v>
      </c>
      <c r="H603" s="9">
        <f>INT(IF(AND('Lån Översikt'!$D$7="JA", 'Lån Översikt'!$D$11="JA", 'Lån Översikt'!$D$8="JA"), (G603*(('Lån Översikt'!$C$7/100*'Lån Översikt'!$C$11/100)-'Lån Översikt'!$C$8/100))/12, IF(AND('Lån Översikt'!$D$7="JA", 'Lån Översikt'!$D$11="JA", 'Lån Översikt'!$D$8="NEJ"), (G603*(('Lån Översikt'!$C$7/100*'Lån Översikt'!$C$11/100))/12), 0)))
</f>
        <v>4784</v>
      </c>
      <c r="I603" s="8">
        <f t="shared" si="2"/>
        <v>4712</v>
      </c>
      <c r="J603" s="8">
        <f>IF(AND(P603, O603), 0, IF(O603, INT((('Lån Översikt'!$C$5 * 1 / 100) / 12)), INT((('Lån Översikt'!$C$5 * 'Lån Översikt'!$C$15 / 100) / 12))))
</f>
        <v>0</v>
      </c>
      <c r="K603" s="8">
        <f t="shared" si="3"/>
        <v>4166</v>
      </c>
      <c r="L603" s="8">
        <f t="shared" si="4"/>
        <v>13662</v>
      </c>
      <c r="M603" s="8">
        <f>(L603 + 'Lån Översikt'!$D$50)</f>
        <v>35611</v>
      </c>
      <c r="N603" s="8">
        <f>IF('Lån Översikt'!$D$22 = "JA", 
    IF(Q603 = TRUE, 'Lån Översikt'!$D$24 - M603, 'Lån Översikt'!$D$24 - M603 + 18300), 
    'Lån Översikt'!$D$24 - M603)
</f>
        <v>14189</v>
      </c>
      <c r="O603" s="25" t="b">
        <f t="shared" si="5"/>
        <v>1</v>
      </c>
      <c r="P603" s="26" t="b">
        <f t="shared" si="6"/>
        <v>1</v>
      </c>
      <c r="Q603" s="27" t="b">
        <f t="shared" si="8"/>
        <v>0</v>
      </c>
    </row>
    <row r="604">
      <c r="F604" s="8">
        <v>601.0</v>
      </c>
      <c r="G604" s="11">
        <f t="shared" si="1"/>
        <v>1871875</v>
      </c>
      <c r="H604" s="9">
        <f>INT(IF(AND('Lån Översikt'!$D$7="JA", 'Lån Översikt'!$D$11="JA", 'Lån Översikt'!$D$8="JA"), (G604*(('Lån Översikt'!$C$7/100*'Lån Översikt'!$C$11/100)-'Lån Översikt'!$C$8/100))/12, IF(AND('Lån Översikt'!$D$7="JA", 'Lån Översikt'!$D$11="JA", 'Lån Översikt'!$D$8="NEJ"), (G604*(('Lån Översikt'!$C$7/100*'Lån Översikt'!$C$11/100))/12), 0)))
</f>
        <v>4784</v>
      </c>
      <c r="I604" s="8">
        <f t="shared" si="2"/>
        <v>4712</v>
      </c>
      <c r="J604" s="8">
        <f>IF(AND(P604, O604), 0, IF(O604, INT((('Lån Översikt'!$C$5 * 1 / 100) / 12)), INT((('Lån Översikt'!$C$5 * 'Lån Översikt'!$C$15 / 100) / 12))))
</f>
        <v>0</v>
      </c>
      <c r="K604" s="8">
        <f t="shared" si="3"/>
        <v>4166</v>
      </c>
      <c r="L604" s="8">
        <f t="shared" si="4"/>
        <v>13662</v>
      </c>
      <c r="M604" s="8">
        <f>(L604 + 'Lån Översikt'!$D$50)</f>
        <v>35611</v>
      </c>
      <c r="N604" s="8">
        <f>IF('Lån Översikt'!$D$22 = "JA", 
    IF(Q604 = TRUE, 'Lån Översikt'!$D$24 - M604, 'Lån Översikt'!$D$24 - M604 + 18300), 
    'Lån Översikt'!$D$24 - M604)
</f>
        <v>14189</v>
      </c>
      <c r="O604" s="25" t="b">
        <f t="shared" si="5"/>
        <v>1</v>
      </c>
      <c r="P604" s="26" t="b">
        <f t="shared" si="6"/>
        <v>1</v>
      </c>
      <c r="Q604" s="27" t="b">
        <f t="shared" si="8"/>
        <v>0</v>
      </c>
    </row>
    <row r="605">
      <c r="F605" s="13"/>
      <c r="H605" s="14"/>
      <c r="I605" s="13"/>
      <c r="J605" s="13"/>
      <c r="K605" s="13"/>
      <c r="L605" s="13"/>
      <c r="M605" s="13"/>
      <c r="N605" s="13"/>
    </row>
    <row r="606">
      <c r="F606" s="13"/>
      <c r="H606" s="14"/>
      <c r="I606" s="13"/>
      <c r="J606" s="13"/>
      <c r="K606" s="13"/>
      <c r="L606" s="13"/>
      <c r="M606" s="13"/>
      <c r="N606" s="13"/>
    </row>
    <row r="607">
      <c r="F607" s="13"/>
      <c r="H607" s="14"/>
      <c r="I607" s="13"/>
      <c r="J607" s="13"/>
      <c r="K607" s="13"/>
      <c r="L607" s="13"/>
      <c r="M607" s="13"/>
      <c r="N607" s="13"/>
    </row>
    <row r="608">
      <c r="F608" s="13"/>
      <c r="H608" s="14"/>
      <c r="I608" s="13"/>
      <c r="J608" s="13"/>
      <c r="K608" s="13"/>
      <c r="L608" s="13"/>
      <c r="M608" s="13"/>
      <c r="N608" s="13"/>
    </row>
    <row r="609">
      <c r="F609" s="13"/>
      <c r="H609" s="14"/>
      <c r="I609" s="13"/>
      <c r="J609" s="13"/>
      <c r="K609" s="13"/>
      <c r="L609" s="13"/>
      <c r="M609" s="13"/>
      <c r="N609" s="13"/>
    </row>
    <row r="610">
      <c r="F610" s="13"/>
      <c r="H610" s="14"/>
      <c r="I610" s="13"/>
      <c r="J610" s="13"/>
      <c r="K610" s="13"/>
      <c r="L610" s="13"/>
      <c r="M610" s="13"/>
      <c r="N610" s="13"/>
    </row>
    <row r="611">
      <c r="F611" s="13"/>
      <c r="H611" s="14"/>
      <c r="I611" s="13"/>
      <c r="J611" s="13"/>
      <c r="K611" s="13"/>
      <c r="L611" s="13"/>
      <c r="M611" s="13"/>
      <c r="N611" s="13"/>
    </row>
    <row r="612">
      <c r="F612" s="13"/>
      <c r="H612" s="14"/>
      <c r="I612" s="13"/>
      <c r="J612" s="13"/>
      <c r="K612" s="13"/>
      <c r="L612" s="13"/>
      <c r="M612" s="13"/>
      <c r="N612" s="13"/>
    </row>
    <row r="613">
      <c r="F613" s="13"/>
      <c r="H613" s="14"/>
      <c r="I613" s="13"/>
      <c r="J613" s="13"/>
      <c r="K613" s="13"/>
      <c r="L613" s="13"/>
      <c r="M613" s="13"/>
      <c r="N613" s="13"/>
    </row>
    <row r="614">
      <c r="F614" s="13"/>
      <c r="H614" s="14"/>
      <c r="I614" s="13"/>
      <c r="J614" s="13"/>
      <c r="K614" s="13"/>
      <c r="L614" s="13"/>
      <c r="M614" s="13"/>
      <c r="N614" s="13"/>
    </row>
    <row r="615">
      <c r="F615" s="13"/>
      <c r="H615" s="14"/>
      <c r="I615" s="13"/>
      <c r="J615" s="13"/>
      <c r="K615" s="13"/>
      <c r="L615" s="13"/>
      <c r="M615" s="13"/>
      <c r="N615" s="13"/>
    </row>
    <row r="616">
      <c r="F616" s="13"/>
      <c r="H616" s="14"/>
      <c r="I616" s="13"/>
      <c r="J616" s="13"/>
      <c r="K616" s="13"/>
      <c r="L616" s="13"/>
      <c r="M616" s="13"/>
      <c r="N616" s="13"/>
    </row>
    <row r="617">
      <c r="F617" s="13"/>
      <c r="H617" s="14"/>
      <c r="I617" s="13"/>
      <c r="J617" s="13"/>
      <c r="K617" s="13"/>
      <c r="L617" s="13"/>
      <c r="M617" s="13"/>
      <c r="N617" s="13"/>
    </row>
    <row r="618">
      <c r="F618" s="13"/>
      <c r="H618" s="14"/>
      <c r="I618" s="13"/>
      <c r="J618" s="13"/>
      <c r="K618" s="13"/>
      <c r="L618" s="13"/>
      <c r="M618" s="13"/>
      <c r="N618" s="13"/>
    </row>
    <row r="619">
      <c r="F619" s="13"/>
      <c r="H619" s="14"/>
      <c r="I619" s="13"/>
      <c r="J619" s="13"/>
      <c r="K619" s="13"/>
      <c r="L619" s="13"/>
      <c r="M619" s="13"/>
      <c r="N619" s="13"/>
    </row>
    <row r="620">
      <c r="F620" s="13"/>
      <c r="H620" s="14"/>
      <c r="I620" s="13"/>
      <c r="J620" s="13"/>
      <c r="K620" s="13"/>
      <c r="L620" s="13"/>
      <c r="M620" s="13"/>
      <c r="N620" s="13"/>
    </row>
    <row r="621">
      <c r="F621" s="13"/>
      <c r="H621" s="14"/>
      <c r="I621" s="13"/>
      <c r="J621" s="13"/>
      <c r="K621" s="13"/>
      <c r="L621" s="13"/>
      <c r="M621" s="13"/>
      <c r="N621" s="13"/>
    </row>
    <row r="622">
      <c r="F622" s="13"/>
      <c r="H622" s="14"/>
      <c r="I622" s="13"/>
      <c r="J622" s="13"/>
      <c r="K622" s="13"/>
      <c r="L622" s="13"/>
      <c r="M622" s="13"/>
      <c r="N622" s="13"/>
    </row>
    <row r="623">
      <c r="F623" s="13"/>
      <c r="H623" s="14"/>
      <c r="I623" s="13"/>
      <c r="J623" s="13"/>
      <c r="K623" s="13"/>
      <c r="L623" s="13"/>
      <c r="M623" s="13"/>
      <c r="N62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38"/>
    <col customWidth="1" min="4" max="4" width="7.0"/>
    <col customWidth="1" min="5" max="5" width="20.13"/>
    <col customWidth="1" min="6" max="6" width="25.75"/>
    <col customWidth="1" min="7" max="7" width="26.75"/>
  </cols>
  <sheetData>
    <row r="1">
      <c r="C1" s="28"/>
    </row>
    <row r="2">
      <c r="B2" s="29" t="s">
        <v>68</v>
      </c>
      <c r="C2" s="30"/>
      <c r="E2" s="31" t="s">
        <v>69</v>
      </c>
      <c r="F2" s="2" t="s">
        <v>70</v>
      </c>
      <c r="G2" s="32" t="s">
        <v>71</v>
      </c>
      <c r="H2" s="7" t="s">
        <v>72</v>
      </c>
    </row>
    <row r="3">
      <c r="B3" s="8" t="s">
        <v>73</v>
      </c>
      <c r="C3" s="8">
        <v>4.0</v>
      </c>
      <c r="D3" s="14"/>
      <c r="E3" s="8" t="s">
        <v>74</v>
      </c>
      <c r="F3" s="8">
        <v>4.54</v>
      </c>
      <c r="G3" s="8">
        <v>1.3</v>
      </c>
      <c r="H3" s="8">
        <f t="shared" ref="H3:H6" si="1">(F3-G3)</f>
        <v>3.24</v>
      </c>
      <c r="J3" s="13"/>
    </row>
    <row r="4">
      <c r="B4" s="8" t="s">
        <v>19</v>
      </c>
      <c r="C4" s="8">
        <v>70.0</v>
      </c>
      <c r="E4" s="8" t="s">
        <v>75</v>
      </c>
      <c r="F4" s="8">
        <v>3.73</v>
      </c>
      <c r="G4" s="8">
        <v>0.8</v>
      </c>
      <c r="H4" s="8">
        <f t="shared" si="1"/>
        <v>2.93</v>
      </c>
    </row>
    <row r="5">
      <c r="B5" s="8" t="s">
        <v>76</v>
      </c>
      <c r="C5" s="8">
        <v>2.0</v>
      </c>
      <c r="E5" s="8" t="s">
        <v>77</v>
      </c>
      <c r="F5" s="8">
        <v>3.63</v>
      </c>
      <c r="G5" s="8">
        <v>0.6</v>
      </c>
      <c r="H5" s="8">
        <f t="shared" si="1"/>
        <v>3.03</v>
      </c>
    </row>
    <row r="6">
      <c r="B6" s="8" t="s">
        <v>78</v>
      </c>
      <c r="C6" s="8">
        <v>0.0</v>
      </c>
      <c r="E6" s="8" t="s">
        <v>79</v>
      </c>
      <c r="F6" s="8">
        <v>3.68</v>
      </c>
      <c r="G6" s="8">
        <v>0.0</v>
      </c>
      <c r="H6" s="8">
        <f t="shared" si="1"/>
        <v>3.68</v>
      </c>
    </row>
    <row r="7">
      <c r="B7" s="8" t="s">
        <v>80</v>
      </c>
      <c r="C7" s="8">
        <v>2.0</v>
      </c>
    </row>
    <row r="8">
      <c r="B8" s="8" t="s">
        <v>81</v>
      </c>
      <c r="C8" s="8">
        <v>0.0</v>
      </c>
      <c r="E8" s="33" t="s">
        <v>82</v>
      </c>
      <c r="F8" s="34" t="s">
        <v>83</v>
      </c>
      <c r="G8" s="35" t="s">
        <v>84</v>
      </c>
      <c r="H8" s="7" t="s">
        <v>72</v>
      </c>
    </row>
    <row r="9">
      <c r="B9" s="8" t="s">
        <v>85</v>
      </c>
      <c r="C9" s="11">
        <f>SUM(C5*H3, C6*H4, C7*H5, C8*H6)/C3</f>
        <v>3.135</v>
      </c>
      <c r="E9" s="36" t="s">
        <v>86</v>
      </c>
      <c r="F9" s="36">
        <v>6409.0</v>
      </c>
      <c r="G9" s="36">
        <v>9165.0</v>
      </c>
      <c r="H9" s="8">
        <v>2.93</v>
      </c>
    </row>
    <row r="10">
      <c r="B10" s="8" t="s">
        <v>83</v>
      </c>
      <c r="C10" s="11">
        <f>INT(IF(AND('Lån Översikt'!$D$7="JA", 'Lån Översikt'!$D$11="JA", 'Lån Översikt'!$D$8="JA"), ('Lån Översikt'!C5*((C9/100*C4/100)-'Lån Översikt'!$C$8/100))/12, IF(AND('Lån Översikt'!$D$7="JA", 'Lån Översikt'!$D$11="JA", 'Lån Översikt'!$D$8="NEJ"), ('Lån Översikt'!C5*((C9/100*C4/100))/12), 0)))
</f>
        <v>6857</v>
      </c>
      <c r="E10" s="8" t="s">
        <v>87</v>
      </c>
      <c r="F10" s="8">
        <v>6578.0</v>
      </c>
      <c r="G10" s="8">
        <v>9398.0</v>
      </c>
      <c r="H10" s="8">
        <v>3.0075</v>
      </c>
    </row>
    <row r="11">
      <c r="B11" s="8" t="s">
        <v>84</v>
      </c>
      <c r="C11" s="11">
        <f>INT(IF(AND('Lån Översikt'!$D$7="JA", 'Lån Översikt'!$D$11="JA", 'Lån Översikt'!$D$8="JA"), ('Lån Översikt'!C5*((C9/100*(C4+30)/100)-'Lån Översikt'!$C$8/100))/12, IF(AND('Lån Översikt'!$D$7="JA", 'Lån Översikt'!$D$11="JA", 'Lån Översikt'!$D$8="NEJ"), ('Lån Översikt'!C5*((C9/100*(C4+30)/100))/12), 0)))
</f>
        <v>9796</v>
      </c>
      <c r="E11" s="8" t="s">
        <v>88</v>
      </c>
      <c r="F11" s="8">
        <v>6635.0</v>
      </c>
      <c r="G11" s="8">
        <v>9479.0</v>
      </c>
      <c r="H11" s="8">
        <v>3.033</v>
      </c>
    </row>
    <row r="12">
      <c r="E12" s="8" t="s">
        <v>89</v>
      </c>
      <c r="F12" s="8">
        <v>6861.0</v>
      </c>
      <c r="G12" s="8">
        <v>9802.0</v>
      </c>
      <c r="H12" s="8">
        <v>3.137</v>
      </c>
    </row>
    <row r="13">
      <c r="E13" s="8" t="s">
        <v>90</v>
      </c>
      <c r="F13" s="8">
        <v>6708.0</v>
      </c>
      <c r="G13" s="8">
        <v>9583.0</v>
      </c>
      <c r="H13" s="8">
        <v>3.067</v>
      </c>
    </row>
    <row r="14">
      <c r="E14" s="8" t="s">
        <v>91</v>
      </c>
      <c r="F14" s="8">
        <v>6742.0</v>
      </c>
      <c r="G14" s="8">
        <v>9632.0</v>
      </c>
      <c r="H14" s="8">
        <v>3.0825</v>
      </c>
    </row>
    <row r="15">
      <c r="E15" s="8" t="s">
        <v>92</v>
      </c>
      <c r="F15" s="8">
        <v>6748.0</v>
      </c>
      <c r="G15" s="8">
        <v>9640.0</v>
      </c>
      <c r="H15" s="8">
        <v>3.085</v>
      </c>
    </row>
    <row r="16">
      <c r="E16" s="8" t="s">
        <v>93</v>
      </c>
      <c r="F16" s="8">
        <v>6781.0</v>
      </c>
      <c r="G16" s="8">
        <v>9687.0</v>
      </c>
      <c r="H16" s="8">
        <v>3.1</v>
      </c>
    </row>
    <row r="17">
      <c r="E17" s="8" t="s">
        <v>94</v>
      </c>
      <c r="F17" s="8">
        <v>6857.0</v>
      </c>
      <c r="G17" s="8">
        <v>9769.0</v>
      </c>
      <c r="H17" s="8">
        <v>3.135</v>
      </c>
    </row>
  </sheetData>
  <mergeCells count="1">
    <mergeCell ref="B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95</v>
      </c>
      <c r="B1" s="13" t="s">
        <v>96</v>
      </c>
    </row>
    <row r="2">
      <c r="B2" s="13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1.88"/>
    <col customWidth="1" min="3" max="3" width="5.0"/>
  </cols>
  <sheetData>
    <row r="1">
      <c r="A1" s="37" t="s">
        <v>98</v>
      </c>
      <c r="B1" s="38" t="s">
        <v>99</v>
      </c>
      <c r="C1" s="11"/>
    </row>
    <row r="2">
      <c r="A2" s="8" t="s">
        <v>100</v>
      </c>
      <c r="B2" s="39" t="s">
        <v>101</v>
      </c>
      <c r="C2" s="11"/>
    </row>
    <row r="3">
      <c r="A3" s="8" t="s">
        <v>102</v>
      </c>
      <c r="B3" s="40" t="s">
        <v>103</v>
      </c>
      <c r="C3" s="11"/>
    </row>
    <row r="4">
      <c r="A4" s="8" t="s">
        <v>104</v>
      </c>
      <c r="B4" s="41"/>
      <c r="C4" s="11"/>
    </row>
    <row r="5">
      <c r="A5" s="8" t="s">
        <v>105</v>
      </c>
      <c r="B5" s="41"/>
      <c r="C5" s="11"/>
    </row>
    <row r="6">
      <c r="A6" s="8" t="s">
        <v>106</v>
      </c>
      <c r="B6" s="41"/>
      <c r="C6" s="11"/>
    </row>
    <row r="7">
      <c r="A7" s="8" t="s">
        <v>107</v>
      </c>
      <c r="B7" s="41"/>
      <c r="C7" s="11"/>
    </row>
    <row r="8">
      <c r="A8" s="8" t="s">
        <v>108</v>
      </c>
      <c r="B8" s="41"/>
      <c r="C8" s="11"/>
    </row>
    <row r="9">
      <c r="A9" s="8" t="s">
        <v>109</v>
      </c>
      <c r="B9" s="41"/>
      <c r="C9" s="11"/>
    </row>
    <row r="10">
      <c r="A10" s="8" t="s">
        <v>110</v>
      </c>
      <c r="B10" s="41"/>
      <c r="C10" s="11"/>
    </row>
    <row r="11">
      <c r="A11" s="8" t="s">
        <v>111</v>
      </c>
      <c r="B11" s="41"/>
      <c r="C11" s="42"/>
    </row>
    <row r="12">
      <c r="A12" s="8" t="s">
        <v>112</v>
      </c>
      <c r="B12" s="41"/>
      <c r="C12" s="42"/>
    </row>
    <row r="13">
      <c r="A13" s="8" t="s">
        <v>113</v>
      </c>
      <c r="B13" s="41"/>
      <c r="C13" s="11"/>
    </row>
    <row r="14">
      <c r="A14" s="8" t="s">
        <v>114</v>
      </c>
      <c r="B14" s="41"/>
      <c r="C14" s="11"/>
    </row>
    <row r="15">
      <c r="A15" s="8" t="s">
        <v>115</v>
      </c>
      <c r="B15" s="41"/>
      <c r="C15" s="11"/>
    </row>
    <row r="16">
      <c r="A16" s="8" t="s">
        <v>116</v>
      </c>
      <c r="B16" s="41"/>
      <c r="C16" s="11"/>
    </row>
    <row r="17">
      <c r="A17" s="8" t="s">
        <v>117</v>
      </c>
      <c r="B17" s="41"/>
      <c r="C17" s="11"/>
    </row>
    <row r="18">
      <c r="A18" s="8" t="s">
        <v>118</v>
      </c>
      <c r="B18" s="41"/>
      <c r="C18" s="11"/>
    </row>
    <row r="19">
      <c r="A19" s="8" t="s">
        <v>119</v>
      </c>
      <c r="B19" s="41"/>
      <c r="C19" s="11"/>
    </row>
    <row r="20">
      <c r="A20" s="8" t="s">
        <v>120</v>
      </c>
      <c r="B20" s="39" t="s">
        <v>121</v>
      </c>
      <c r="C20" s="11"/>
    </row>
    <row r="21">
      <c r="A21" s="8" t="s">
        <v>122</v>
      </c>
      <c r="B21" s="38" t="s">
        <v>123</v>
      </c>
      <c r="C21" s="11"/>
    </row>
    <row r="22">
      <c r="A22" s="8" t="s">
        <v>124</v>
      </c>
      <c r="B22" s="38" t="s">
        <v>125</v>
      </c>
      <c r="C22" s="11"/>
    </row>
    <row r="23">
      <c r="A23" s="8" t="s">
        <v>126</v>
      </c>
      <c r="B23" s="41"/>
      <c r="C23" s="11"/>
    </row>
    <row r="24">
      <c r="A24" s="8" t="s">
        <v>127</v>
      </c>
      <c r="B24" s="39" t="s">
        <v>128</v>
      </c>
      <c r="C24" s="11"/>
    </row>
    <row r="25">
      <c r="A25" s="8" t="s">
        <v>129</v>
      </c>
      <c r="B25" s="41"/>
      <c r="C25" s="11"/>
    </row>
    <row r="26">
      <c r="A26" s="8" t="s">
        <v>130</v>
      </c>
      <c r="B26" s="41"/>
      <c r="C26" s="42"/>
    </row>
    <row r="27">
      <c r="A27" s="8" t="s">
        <v>131</v>
      </c>
      <c r="B27" s="41"/>
      <c r="C27" s="11"/>
    </row>
    <row r="28">
      <c r="A28" s="8" t="s">
        <v>132</v>
      </c>
      <c r="B28" s="41"/>
      <c r="C28" s="11"/>
    </row>
    <row r="29">
      <c r="A29" s="8" t="s">
        <v>133</v>
      </c>
      <c r="B29" s="41"/>
      <c r="C29" s="11"/>
    </row>
    <row r="30">
      <c r="A30" s="8" t="s">
        <v>134</v>
      </c>
      <c r="B30" s="41"/>
      <c r="C30" s="11"/>
    </row>
    <row r="31">
      <c r="A31" s="8" t="s">
        <v>135</v>
      </c>
      <c r="B31" s="41"/>
      <c r="C31" s="11"/>
    </row>
    <row r="32">
      <c r="A32" s="8" t="s">
        <v>136</v>
      </c>
      <c r="B32" s="41"/>
      <c r="C32" s="11"/>
    </row>
    <row r="33">
      <c r="A33" s="8" t="s">
        <v>137</v>
      </c>
      <c r="B33" s="41"/>
      <c r="C33" s="11"/>
    </row>
    <row r="34">
      <c r="A34" s="8" t="s">
        <v>138</v>
      </c>
      <c r="B34" s="41"/>
      <c r="C34" s="11"/>
    </row>
    <row r="35">
      <c r="A35" s="8" t="s">
        <v>139</v>
      </c>
      <c r="B35" s="41"/>
      <c r="C35" s="11"/>
    </row>
    <row r="36">
      <c r="A36" s="13" t="s">
        <v>140</v>
      </c>
      <c r="B36" s="43"/>
    </row>
    <row r="37">
      <c r="A37" s="13" t="s">
        <v>141</v>
      </c>
      <c r="B37" s="43"/>
    </row>
    <row r="38">
      <c r="A38" s="13" t="s">
        <v>142</v>
      </c>
      <c r="B38" s="43"/>
    </row>
    <row r="39">
      <c r="A39" s="13"/>
      <c r="B39" s="43"/>
    </row>
    <row r="40">
      <c r="B40" s="43"/>
    </row>
    <row r="41">
      <c r="B41" s="43"/>
    </row>
    <row r="42">
      <c r="B42" s="43"/>
    </row>
    <row r="43">
      <c r="B43" s="43"/>
    </row>
    <row r="44">
      <c r="B44" s="43"/>
    </row>
    <row r="45">
      <c r="B45" s="43"/>
    </row>
    <row r="46">
      <c r="B46" s="43"/>
    </row>
    <row r="47">
      <c r="B47" s="43"/>
    </row>
    <row r="48">
      <c r="B48" s="43"/>
    </row>
    <row r="49">
      <c r="B49" s="43"/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hyperlinks>
    <hyperlink r:id="rId1" ref="B2"/>
    <hyperlink r:id="rId2" ref="B3"/>
    <hyperlink r:id="rId3" ref="B20"/>
    <hyperlink r:id="rId4" ref="B24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.75"/>
    <col customWidth="1" min="3" max="3" width="9.75"/>
    <col customWidth="1" min="4" max="4" width="11.25"/>
    <col customWidth="1" min="5" max="5" width="9.13"/>
    <col customWidth="1" min="8" max="8" width="10.25"/>
    <col customWidth="1" min="9" max="9" width="10.75"/>
    <col customWidth="1" min="13" max="13" width="15.75"/>
    <col customWidth="1" min="14" max="14" width="14.63"/>
    <col customWidth="1" min="15" max="15" width="13.13"/>
  </cols>
  <sheetData>
    <row r="2">
      <c r="B2" s="44" t="s">
        <v>143</v>
      </c>
      <c r="C2" s="44" t="s">
        <v>1</v>
      </c>
      <c r="D2" s="35" t="s">
        <v>144</v>
      </c>
      <c r="E2" s="35" t="s">
        <v>145</v>
      </c>
      <c r="F2" s="44" t="s">
        <v>146</v>
      </c>
      <c r="G2" s="44" t="s">
        <v>147</v>
      </c>
      <c r="H2" s="44" t="s">
        <v>148</v>
      </c>
      <c r="I2" s="44" t="s">
        <v>149</v>
      </c>
      <c r="J2" s="44" t="s">
        <v>150</v>
      </c>
      <c r="K2" s="45" t="s">
        <v>151</v>
      </c>
      <c r="L2" s="45" t="s">
        <v>152</v>
      </c>
      <c r="M2" s="4" t="s">
        <v>153</v>
      </c>
      <c r="N2" s="46" t="s">
        <v>154</v>
      </c>
      <c r="O2" s="2" t="s">
        <v>155</v>
      </c>
      <c r="P2" s="2" t="s">
        <v>156</v>
      </c>
    </row>
    <row r="3">
      <c r="B3" s="47">
        <v>2025.0</v>
      </c>
      <c r="C3" s="8" t="s">
        <v>157</v>
      </c>
      <c r="D3" s="48">
        <f>Data!L5</f>
        <v>24696</v>
      </c>
      <c r="E3" s="48">
        <v>8331.0</v>
      </c>
      <c r="F3" s="11"/>
      <c r="G3" s="8"/>
      <c r="H3" s="11"/>
      <c r="I3" s="8">
        <v>0.65</v>
      </c>
      <c r="J3" s="8">
        <v>0.35</v>
      </c>
      <c r="K3" s="48">
        <f t="shared" ref="K3:K7" si="2">INT(D4*0.65)</f>
        <v>16042</v>
      </c>
      <c r="L3" s="48">
        <f t="shared" ref="L3:L8" si="3">INT(8331*0.65)</f>
        <v>5415</v>
      </c>
      <c r="M3" s="49">
        <f t="shared" ref="M3:M8" si="4">INT(D4*0.35)</f>
        <v>8638</v>
      </c>
      <c r="N3" s="50">
        <f t="shared" ref="N3:N8" si="5">INT(8331*0.35)</f>
        <v>2915</v>
      </c>
      <c r="O3" s="49">
        <f t="shared" ref="O3:P3" si="1">SUM(K3,M3)</f>
        <v>24680</v>
      </c>
      <c r="P3" s="49">
        <f t="shared" si="1"/>
        <v>8330</v>
      </c>
    </row>
    <row r="4">
      <c r="B4" s="47">
        <v>2025.0</v>
      </c>
      <c r="C4" s="8" t="s">
        <v>158</v>
      </c>
      <c r="D4" s="49">
        <f>Data!L6</f>
        <v>24680</v>
      </c>
      <c r="E4" s="48">
        <v>8331.0</v>
      </c>
      <c r="F4" s="11"/>
      <c r="G4" s="8"/>
      <c r="H4" s="11"/>
      <c r="I4" s="8">
        <v>0.65</v>
      </c>
      <c r="J4" s="8">
        <v>0.35</v>
      </c>
      <c r="K4" s="49">
        <f t="shared" si="2"/>
        <v>16031</v>
      </c>
      <c r="L4" s="48">
        <f t="shared" si="3"/>
        <v>5415</v>
      </c>
      <c r="M4" s="49">
        <f t="shared" si="4"/>
        <v>8632</v>
      </c>
      <c r="N4" s="50">
        <f t="shared" si="5"/>
        <v>2915</v>
      </c>
      <c r="O4" s="49">
        <f t="shared" ref="O4:P4" si="6">SUM(K4,M4)</f>
        <v>24663</v>
      </c>
      <c r="P4" s="49">
        <f t="shared" si="6"/>
        <v>8330</v>
      </c>
    </row>
    <row r="5">
      <c r="B5" s="47">
        <v>2025.0</v>
      </c>
      <c r="C5" s="8" t="s">
        <v>159</v>
      </c>
      <c r="D5" s="48">
        <f>Data!L7</f>
        <v>24664</v>
      </c>
      <c r="E5" s="48">
        <v>8331.0</v>
      </c>
      <c r="F5" s="11"/>
      <c r="G5" s="8"/>
      <c r="H5" s="11"/>
      <c r="I5" s="8">
        <v>0.65</v>
      </c>
      <c r="J5" s="8">
        <v>0.35</v>
      </c>
      <c r="K5" s="48">
        <f t="shared" si="2"/>
        <v>16021</v>
      </c>
      <c r="L5" s="48">
        <f t="shared" si="3"/>
        <v>5415</v>
      </c>
      <c r="M5" s="49">
        <f t="shared" si="4"/>
        <v>8626</v>
      </c>
      <c r="N5" s="50">
        <f t="shared" si="5"/>
        <v>2915</v>
      </c>
      <c r="O5" s="49">
        <f t="shared" ref="O5:P5" si="7">SUM(K5,M5)</f>
        <v>24647</v>
      </c>
      <c r="P5" s="49">
        <f t="shared" si="7"/>
        <v>8330</v>
      </c>
    </row>
    <row r="6">
      <c r="B6" s="47">
        <v>2025.0</v>
      </c>
      <c r="C6" s="8" t="s">
        <v>160</v>
      </c>
      <c r="D6" s="49">
        <f>Data!L8</f>
        <v>24648</v>
      </c>
      <c r="E6" s="48">
        <v>8331.0</v>
      </c>
      <c r="F6" s="11"/>
      <c r="G6" s="8"/>
      <c r="H6" s="11"/>
      <c r="I6" s="8">
        <v>0.65</v>
      </c>
      <c r="J6" s="8">
        <v>0.35</v>
      </c>
      <c r="K6" s="49">
        <f t="shared" si="2"/>
        <v>16010</v>
      </c>
      <c r="L6" s="48">
        <f t="shared" si="3"/>
        <v>5415</v>
      </c>
      <c r="M6" s="49">
        <f t="shared" si="4"/>
        <v>8621</v>
      </c>
      <c r="N6" s="50">
        <f t="shared" si="5"/>
        <v>2915</v>
      </c>
      <c r="O6" s="49">
        <f t="shared" ref="O6:P6" si="8">SUM(K6,M6)</f>
        <v>24631</v>
      </c>
      <c r="P6" s="49">
        <f t="shared" si="8"/>
        <v>8330</v>
      </c>
    </row>
    <row r="7">
      <c r="B7" s="47">
        <v>2025.0</v>
      </c>
      <c r="C7" s="8" t="s">
        <v>161</v>
      </c>
      <c r="D7" s="48">
        <f>Data!L9</f>
        <v>24632</v>
      </c>
      <c r="E7" s="48">
        <v>8331.0</v>
      </c>
      <c r="F7" s="11"/>
      <c r="G7" s="8"/>
      <c r="H7" s="11"/>
      <c r="I7" s="8">
        <v>0.65</v>
      </c>
      <c r="J7" s="8">
        <v>0.35</v>
      </c>
      <c r="K7" s="48">
        <f t="shared" si="2"/>
        <v>16000</v>
      </c>
      <c r="L7" s="48">
        <f t="shared" si="3"/>
        <v>5415</v>
      </c>
      <c r="M7" s="49">
        <f t="shared" si="4"/>
        <v>8615</v>
      </c>
      <c r="N7" s="50">
        <f t="shared" si="5"/>
        <v>2915</v>
      </c>
      <c r="O7" s="49">
        <f t="shared" ref="O7:P7" si="9">SUM(K7,M7)</f>
        <v>24615</v>
      </c>
      <c r="P7" s="49">
        <f t="shared" si="9"/>
        <v>8330</v>
      </c>
    </row>
    <row r="8">
      <c r="B8" s="47">
        <v>2025.0</v>
      </c>
      <c r="C8" s="8" t="s">
        <v>162</v>
      </c>
      <c r="D8" s="49">
        <f>Data!L10</f>
        <v>24616</v>
      </c>
      <c r="E8" s="48">
        <v>8331.0</v>
      </c>
      <c r="F8" s="11"/>
      <c r="G8" s="8"/>
      <c r="H8" s="11"/>
      <c r="I8" s="8">
        <v>0.65</v>
      </c>
      <c r="J8" s="8">
        <v>0.35</v>
      </c>
      <c r="K8" s="48">
        <f t="shared" ref="K8:K23" si="11">INT(D8*I8)</f>
        <v>16000</v>
      </c>
      <c r="L8" s="48">
        <f t="shared" si="3"/>
        <v>5415</v>
      </c>
      <c r="M8" s="49">
        <f t="shared" si="4"/>
        <v>8610</v>
      </c>
      <c r="N8" s="50">
        <f t="shared" si="5"/>
        <v>2915</v>
      </c>
      <c r="O8" s="49">
        <f t="shared" ref="O8:P8" si="10">SUM(K8,M8)</f>
        <v>24610</v>
      </c>
      <c r="P8" s="49">
        <f t="shared" si="10"/>
        <v>8330</v>
      </c>
    </row>
    <row r="9">
      <c r="B9" s="47">
        <v>2025.0</v>
      </c>
      <c r="C9" s="8" t="s">
        <v>163</v>
      </c>
      <c r="D9" s="48">
        <f>Data!L11</f>
        <v>24600</v>
      </c>
      <c r="E9" s="48">
        <v>8331.0</v>
      </c>
      <c r="F9" s="11"/>
      <c r="G9" s="8"/>
      <c r="H9" s="11"/>
      <c r="I9" s="8">
        <v>0.416</v>
      </c>
      <c r="J9" s="8">
        <v>0.584</v>
      </c>
      <c r="K9" s="48">
        <f t="shared" si="11"/>
        <v>10233</v>
      </c>
      <c r="L9" s="48">
        <f t="shared" ref="L9:L11" si="13">INT(8331*I9)</f>
        <v>3465</v>
      </c>
      <c r="M9" s="49">
        <f t="shared" ref="M9:M23" si="14">INT(D9*J9)</f>
        <v>14366</v>
      </c>
      <c r="N9" s="50">
        <f t="shared" ref="N9:N11" si="15">INT(8331*J9)</f>
        <v>4865</v>
      </c>
      <c r="O9" s="49">
        <f t="shared" ref="O9:P9" si="12">SUM(K9,M9)</f>
        <v>24599</v>
      </c>
      <c r="P9" s="49">
        <f t="shared" si="12"/>
        <v>8330</v>
      </c>
    </row>
    <row r="10">
      <c r="B10" s="47">
        <v>2025.0</v>
      </c>
      <c r="C10" s="8" t="s">
        <v>164</v>
      </c>
      <c r="D10" s="49">
        <f>Data!L12</f>
        <v>24584</v>
      </c>
      <c r="E10" s="48">
        <v>8331.0</v>
      </c>
      <c r="F10" s="11"/>
      <c r="G10" s="8"/>
      <c r="H10" s="11"/>
      <c r="I10" s="8">
        <v>0.45358</v>
      </c>
      <c r="J10" s="8">
        <v>0.5464</v>
      </c>
      <c r="K10" s="48">
        <f t="shared" si="11"/>
        <v>11150</v>
      </c>
      <c r="L10" s="48">
        <f t="shared" si="13"/>
        <v>3778</v>
      </c>
      <c r="M10" s="49">
        <f t="shared" si="14"/>
        <v>13432</v>
      </c>
      <c r="N10" s="50">
        <f t="shared" si="15"/>
        <v>4552</v>
      </c>
      <c r="O10" s="49">
        <f t="shared" ref="O10:P10" si="16">SUM(K10,M10)</f>
        <v>24582</v>
      </c>
      <c r="P10" s="49">
        <f t="shared" si="16"/>
        <v>8330</v>
      </c>
    </row>
    <row r="11">
      <c r="B11" s="47">
        <v>2025.0</v>
      </c>
      <c r="C11" s="8" t="s">
        <v>165</v>
      </c>
      <c r="D11" s="48">
        <f>Data!L13</f>
        <v>24568</v>
      </c>
      <c r="E11" s="48">
        <v>8331.0</v>
      </c>
      <c r="F11" s="11"/>
      <c r="G11" s="8"/>
      <c r="H11" s="11"/>
      <c r="I11" s="8">
        <v>0.435</v>
      </c>
      <c r="J11" s="8">
        <f>1-I11</f>
        <v>0.565</v>
      </c>
      <c r="K11" s="48">
        <f t="shared" si="11"/>
        <v>10687</v>
      </c>
      <c r="L11" s="48">
        <f t="shared" si="13"/>
        <v>3623</v>
      </c>
      <c r="M11" s="49">
        <f t="shared" si="14"/>
        <v>13880</v>
      </c>
      <c r="N11" s="50">
        <f t="shared" si="15"/>
        <v>4707</v>
      </c>
      <c r="O11" s="49">
        <f t="shared" ref="O11:P11" si="17">SUM(K11,M11)</f>
        <v>24567</v>
      </c>
      <c r="P11" s="49">
        <f t="shared" si="17"/>
        <v>8330</v>
      </c>
    </row>
    <row r="12">
      <c r="B12" s="47">
        <v>2026.0</v>
      </c>
      <c r="C12" s="8" t="s">
        <v>166</v>
      </c>
      <c r="D12" s="49">
        <f>Data!L14</f>
        <v>24552</v>
      </c>
      <c r="E12" s="8">
        <v>8331.0</v>
      </c>
      <c r="F12" s="8">
        <v>30844.0</v>
      </c>
      <c r="G12" s="8">
        <v>26232.0</v>
      </c>
      <c r="H12" s="11">
        <f t="shared" ref="H12:H23" si="19">SUM(F12:G12)</f>
        <v>57076</v>
      </c>
      <c r="I12" s="51">
        <f t="shared" ref="I12:I23" si="20">G12/H12</f>
        <v>0.4595977293</v>
      </c>
      <c r="J12" s="51">
        <f t="shared" ref="J12:J23" si="21">F12/H12</f>
        <v>0.5404022707</v>
      </c>
      <c r="K12" s="11">
        <f t="shared" si="11"/>
        <v>11284</v>
      </c>
      <c r="L12" s="11">
        <f t="shared" ref="L12:L23" si="22">INT(E12*I12)</f>
        <v>3828</v>
      </c>
      <c r="M12" s="11">
        <f t="shared" si="14"/>
        <v>13267</v>
      </c>
      <c r="N12" s="52">
        <f t="shared" ref="N12:N23" si="23">INT(E12*J12)</f>
        <v>4502</v>
      </c>
      <c r="O12" s="11">
        <f t="shared" ref="O12:P12" si="18">SUM(K12,M12)</f>
        <v>24551</v>
      </c>
      <c r="P12" s="11">
        <f t="shared" si="18"/>
        <v>8330</v>
      </c>
    </row>
    <row r="13">
      <c r="B13" s="47">
        <v>2026.0</v>
      </c>
      <c r="C13" s="8" t="s">
        <v>167</v>
      </c>
      <c r="D13" s="48">
        <f>Data!L15 + 'Lån Översikt'!D55</f>
        <v>27235</v>
      </c>
      <c r="E13" s="48">
        <v>8331.0</v>
      </c>
      <c r="F13" s="11">
        <f>37288+5632</f>
        <v>42920</v>
      </c>
      <c r="G13" s="8">
        <v>14024.0</v>
      </c>
      <c r="H13" s="11">
        <f t="shared" si="19"/>
        <v>56944</v>
      </c>
      <c r="I13" s="51">
        <f t="shared" si="20"/>
        <v>0.2462770441</v>
      </c>
      <c r="J13" s="51">
        <f t="shared" si="21"/>
        <v>0.7537229559</v>
      </c>
      <c r="K13" s="11">
        <f t="shared" si="11"/>
        <v>6707</v>
      </c>
      <c r="L13" s="11">
        <f t="shared" si="22"/>
        <v>2051</v>
      </c>
      <c r="M13" s="11">
        <f t="shared" si="14"/>
        <v>20527</v>
      </c>
      <c r="N13" s="52">
        <f t="shared" si="23"/>
        <v>6279</v>
      </c>
      <c r="O13" s="11">
        <f t="shared" ref="O13:P13" si="24">SUM(K13,M13)</f>
        <v>27234</v>
      </c>
      <c r="P13" s="11">
        <f t="shared" si="24"/>
        <v>8330</v>
      </c>
    </row>
    <row r="14">
      <c r="B14" s="47">
        <v>2026.0</v>
      </c>
      <c r="C14" s="8" t="s">
        <v>168</v>
      </c>
      <c r="D14" s="48">
        <f>Data!L16 + 'Lån Översikt'!D55</f>
        <v>27219</v>
      </c>
      <c r="E14" s="48">
        <v>8331.0</v>
      </c>
      <c r="F14" s="8">
        <v>35974.0</v>
      </c>
      <c r="G14" s="8">
        <v>12194.0</v>
      </c>
      <c r="H14" s="11">
        <f t="shared" si="19"/>
        <v>48168</v>
      </c>
      <c r="I14" s="51">
        <f t="shared" si="20"/>
        <v>0.253155622</v>
      </c>
      <c r="J14" s="51">
        <f t="shared" si="21"/>
        <v>0.746844378</v>
      </c>
      <c r="K14" s="11">
        <f t="shared" si="11"/>
        <v>6890</v>
      </c>
      <c r="L14" s="11">
        <f t="shared" si="22"/>
        <v>2109</v>
      </c>
      <c r="M14" s="11">
        <f t="shared" si="14"/>
        <v>20328</v>
      </c>
      <c r="N14" s="52">
        <f t="shared" si="23"/>
        <v>6221</v>
      </c>
      <c r="O14" s="11">
        <f t="shared" ref="O14:P14" si="25">SUM(K14,M14)</f>
        <v>27218</v>
      </c>
      <c r="P14" s="11">
        <f t="shared" si="25"/>
        <v>8330</v>
      </c>
    </row>
    <row r="15">
      <c r="B15" s="47">
        <v>2026.0</v>
      </c>
      <c r="C15" s="8" t="s">
        <v>157</v>
      </c>
      <c r="D15" s="48">
        <f>Data!L17 + 'Lån Översikt'!D55</f>
        <v>27203</v>
      </c>
      <c r="E15" s="48">
        <v>8331.0</v>
      </c>
      <c r="F15" s="8">
        <v>37288.0</v>
      </c>
      <c r="G15" s="8">
        <v>12804.0</v>
      </c>
      <c r="H15" s="11">
        <f t="shared" si="19"/>
        <v>50092</v>
      </c>
      <c r="I15" s="51">
        <f t="shared" si="20"/>
        <v>0.2556096782</v>
      </c>
      <c r="J15" s="51">
        <f t="shared" si="21"/>
        <v>0.7443903218</v>
      </c>
      <c r="K15" s="11">
        <f t="shared" si="11"/>
        <v>6953</v>
      </c>
      <c r="L15" s="11">
        <f t="shared" si="22"/>
        <v>2129</v>
      </c>
      <c r="M15" s="11">
        <f t="shared" si="14"/>
        <v>20249</v>
      </c>
      <c r="N15" s="52">
        <f t="shared" si="23"/>
        <v>6201</v>
      </c>
      <c r="O15" s="11">
        <f t="shared" ref="O15:P15" si="26">SUM(K15,M15)</f>
        <v>27202</v>
      </c>
      <c r="P15" s="11">
        <f t="shared" si="26"/>
        <v>8330</v>
      </c>
    </row>
    <row r="16">
      <c r="B16" s="47">
        <v>2026.0</v>
      </c>
      <c r="C16" s="8" t="s">
        <v>158</v>
      </c>
      <c r="D16" s="48">
        <f>Data!L18 + 'Lån Översikt'!D55</f>
        <v>27187</v>
      </c>
      <c r="E16" s="48">
        <v>8331.0</v>
      </c>
      <c r="F16" s="8">
        <v>37288.0</v>
      </c>
      <c r="G16" s="8">
        <v>13414.0</v>
      </c>
      <c r="H16" s="11">
        <f t="shared" si="19"/>
        <v>50702</v>
      </c>
      <c r="I16" s="51">
        <f t="shared" si="20"/>
        <v>0.2645655004</v>
      </c>
      <c r="J16" s="51">
        <f t="shared" si="21"/>
        <v>0.7354344996</v>
      </c>
      <c r="K16" s="11">
        <f t="shared" si="11"/>
        <v>7192</v>
      </c>
      <c r="L16" s="11">
        <f t="shared" si="22"/>
        <v>2204</v>
      </c>
      <c r="M16" s="11">
        <f t="shared" si="14"/>
        <v>19994</v>
      </c>
      <c r="N16" s="52">
        <f t="shared" si="23"/>
        <v>6126</v>
      </c>
      <c r="O16" s="11">
        <f t="shared" ref="O16:P16" si="27">SUM(K16,M16)</f>
        <v>27186</v>
      </c>
      <c r="P16" s="11">
        <f t="shared" si="27"/>
        <v>8330</v>
      </c>
    </row>
    <row r="17">
      <c r="B17" s="47">
        <v>2026.0</v>
      </c>
      <c r="C17" s="8" t="s">
        <v>159</v>
      </c>
      <c r="D17" s="48">
        <f>Data!L19 + 'Lån Översikt'!D55</f>
        <v>27171</v>
      </c>
      <c r="E17" s="48">
        <v>8331.0</v>
      </c>
      <c r="F17" s="8">
        <v>37288.0</v>
      </c>
      <c r="G17" s="8">
        <v>13414.0</v>
      </c>
      <c r="H17" s="11">
        <f t="shared" si="19"/>
        <v>50702</v>
      </c>
      <c r="I17" s="51">
        <f t="shared" si="20"/>
        <v>0.2645655004</v>
      </c>
      <c r="J17" s="51">
        <f t="shared" si="21"/>
        <v>0.7354344996</v>
      </c>
      <c r="K17" s="11">
        <f t="shared" si="11"/>
        <v>7188</v>
      </c>
      <c r="L17" s="11">
        <f t="shared" si="22"/>
        <v>2204</v>
      </c>
      <c r="M17" s="11">
        <f t="shared" si="14"/>
        <v>19982</v>
      </c>
      <c r="N17" s="52">
        <f t="shared" si="23"/>
        <v>6126</v>
      </c>
      <c r="O17" s="11">
        <f t="shared" ref="O17:P17" si="28">SUM(K17,M17)</f>
        <v>27170</v>
      </c>
      <c r="P17" s="11">
        <f t="shared" si="28"/>
        <v>8330</v>
      </c>
    </row>
    <row r="18">
      <c r="B18" s="47">
        <v>2026.0</v>
      </c>
      <c r="C18" s="8" t="s">
        <v>160</v>
      </c>
      <c r="D18" s="48">
        <f>Data!L20 + 'Lån Översikt'!D55</f>
        <v>27155</v>
      </c>
      <c r="E18" s="48">
        <v>8331.0</v>
      </c>
      <c r="F18" s="8">
        <v>37288.0</v>
      </c>
      <c r="G18" s="8">
        <v>12804.0</v>
      </c>
      <c r="H18" s="11">
        <f t="shared" si="19"/>
        <v>50092</v>
      </c>
      <c r="I18" s="51">
        <f t="shared" si="20"/>
        <v>0.2556096782</v>
      </c>
      <c r="J18" s="51">
        <f t="shared" si="21"/>
        <v>0.7443903218</v>
      </c>
      <c r="K18" s="11">
        <f t="shared" si="11"/>
        <v>6941</v>
      </c>
      <c r="L18" s="11">
        <f t="shared" si="22"/>
        <v>2129</v>
      </c>
      <c r="M18" s="11">
        <f t="shared" si="14"/>
        <v>20213</v>
      </c>
      <c r="N18" s="52">
        <f t="shared" si="23"/>
        <v>6201</v>
      </c>
      <c r="O18" s="11">
        <f t="shared" ref="O18:P18" si="29">SUM(K18,M18)</f>
        <v>27154</v>
      </c>
      <c r="P18" s="11">
        <f t="shared" si="29"/>
        <v>8330</v>
      </c>
    </row>
    <row r="19">
      <c r="B19" s="47">
        <v>2026.0</v>
      </c>
      <c r="C19" s="8" t="s">
        <v>161</v>
      </c>
      <c r="D19" s="48">
        <f>Data!L21 + 'Lån Översikt'!D55</f>
        <v>27139</v>
      </c>
      <c r="E19" s="48">
        <v>8331.0</v>
      </c>
      <c r="F19" s="8">
        <v>37288.0</v>
      </c>
      <c r="G19" s="8">
        <v>14024.0</v>
      </c>
      <c r="H19" s="11">
        <f t="shared" si="19"/>
        <v>51312</v>
      </c>
      <c r="I19" s="51">
        <f t="shared" si="20"/>
        <v>0.2733083879</v>
      </c>
      <c r="J19" s="51">
        <f t="shared" si="21"/>
        <v>0.7266916121</v>
      </c>
      <c r="K19" s="11">
        <f t="shared" si="11"/>
        <v>7417</v>
      </c>
      <c r="L19" s="11">
        <f t="shared" si="22"/>
        <v>2276</v>
      </c>
      <c r="M19" s="11">
        <f t="shared" si="14"/>
        <v>19721</v>
      </c>
      <c r="N19" s="52">
        <f t="shared" si="23"/>
        <v>6054</v>
      </c>
      <c r="O19" s="11">
        <f t="shared" ref="O19:P19" si="30">SUM(K19,M19)</f>
        <v>27138</v>
      </c>
      <c r="P19" s="11">
        <f t="shared" si="30"/>
        <v>8330</v>
      </c>
    </row>
    <row r="20">
      <c r="B20" s="47">
        <v>2026.0</v>
      </c>
      <c r="C20" s="8" t="s">
        <v>162</v>
      </c>
      <c r="D20" s="48">
        <f>Data!L22 + 'Lån Översikt'!D55</f>
        <v>27123</v>
      </c>
      <c r="E20" s="48">
        <v>8331.0</v>
      </c>
      <c r="F20" s="8">
        <v>37288.0</v>
      </c>
      <c r="G20" s="8">
        <v>12804.0</v>
      </c>
      <c r="H20" s="11">
        <f t="shared" si="19"/>
        <v>50092</v>
      </c>
      <c r="I20" s="51">
        <f t="shared" si="20"/>
        <v>0.2556096782</v>
      </c>
      <c r="J20" s="51">
        <f t="shared" si="21"/>
        <v>0.7443903218</v>
      </c>
      <c r="K20" s="11">
        <f t="shared" si="11"/>
        <v>6932</v>
      </c>
      <c r="L20" s="11">
        <f t="shared" si="22"/>
        <v>2129</v>
      </c>
      <c r="M20" s="11">
        <f t="shared" si="14"/>
        <v>20190</v>
      </c>
      <c r="N20" s="52">
        <f t="shared" si="23"/>
        <v>6201</v>
      </c>
      <c r="O20" s="11">
        <f t="shared" ref="O20:P20" si="31">SUM(K20,M20)</f>
        <v>27122</v>
      </c>
      <c r="P20" s="11">
        <f t="shared" si="31"/>
        <v>8330</v>
      </c>
    </row>
    <row r="21">
      <c r="B21" s="47">
        <v>2026.0</v>
      </c>
      <c r="C21" s="8" t="s">
        <v>163</v>
      </c>
      <c r="D21" s="48">
        <f>Data!L23 + 'Lån Översikt'!D55</f>
        <v>27107</v>
      </c>
      <c r="E21" s="48">
        <v>8331.0</v>
      </c>
      <c r="F21" s="8">
        <v>37288.0</v>
      </c>
      <c r="G21" s="8">
        <v>11479.0</v>
      </c>
      <c r="H21" s="11">
        <f t="shared" si="19"/>
        <v>48767</v>
      </c>
      <c r="I21" s="51">
        <f t="shared" si="20"/>
        <v>0.2353845838</v>
      </c>
      <c r="J21" s="51">
        <f t="shared" si="21"/>
        <v>0.7646154162</v>
      </c>
      <c r="K21" s="11">
        <f t="shared" si="11"/>
        <v>6380</v>
      </c>
      <c r="L21" s="11">
        <f t="shared" si="22"/>
        <v>1960</v>
      </c>
      <c r="M21" s="11">
        <f t="shared" si="14"/>
        <v>20726</v>
      </c>
      <c r="N21" s="52">
        <f t="shared" si="23"/>
        <v>6370</v>
      </c>
      <c r="O21" s="11">
        <f t="shared" ref="O21:P21" si="32">SUM(K21,M21)</f>
        <v>27106</v>
      </c>
      <c r="P21" s="11">
        <f t="shared" si="32"/>
        <v>8330</v>
      </c>
    </row>
    <row r="22">
      <c r="B22" s="47">
        <v>2026.0</v>
      </c>
      <c r="C22" s="8" t="s">
        <v>164</v>
      </c>
      <c r="D22" s="48">
        <f>Data!L24 + 'Lån Översikt'!D55</f>
        <v>27091</v>
      </c>
      <c r="E22" s="48">
        <v>8331.0</v>
      </c>
      <c r="F22" s="8">
        <v>37288.0</v>
      </c>
      <c r="G22" s="8">
        <v>11605.0</v>
      </c>
      <c r="H22" s="11">
        <f t="shared" si="19"/>
        <v>48893</v>
      </c>
      <c r="I22" s="51">
        <f t="shared" si="20"/>
        <v>0.2373550406</v>
      </c>
      <c r="J22" s="51">
        <f t="shared" si="21"/>
        <v>0.7626449594</v>
      </c>
      <c r="K22" s="11">
        <f t="shared" si="11"/>
        <v>6430</v>
      </c>
      <c r="L22" s="11">
        <f t="shared" si="22"/>
        <v>1977</v>
      </c>
      <c r="M22" s="11">
        <f t="shared" si="14"/>
        <v>20660</v>
      </c>
      <c r="N22" s="52">
        <f t="shared" si="23"/>
        <v>6353</v>
      </c>
      <c r="O22" s="11">
        <f t="shared" ref="O22:P22" si="33">SUM(K22,M22)</f>
        <v>27090</v>
      </c>
      <c r="P22" s="11">
        <f t="shared" si="33"/>
        <v>8330</v>
      </c>
    </row>
    <row r="23">
      <c r="B23" s="47">
        <v>2026.0</v>
      </c>
      <c r="C23" s="8" t="s">
        <v>165</v>
      </c>
      <c r="D23" s="48">
        <f>Data!L25 + 'Lån Översikt'!D55</f>
        <v>27075</v>
      </c>
      <c r="E23" s="48">
        <v>8331.0</v>
      </c>
      <c r="F23" s="8">
        <v>37288.0</v>
      </c>
      <c r="G23" s="8">
        <v>10260.0</v>
      </c>
      <c r="H23" s="11">
        <f t="shared" si="19"/>
        <v>47548</v>
      </c>
      <c r="I23" s="51">
        <f t="shared" si="20"/>
        <v>0.2157819467</v>
      </c>
      <c r="J23" s="51">
        <f t="shared" si="21"/>
        <v>0.7842180533</v>
      </c>
      <c r="K23" s="11">
        <f t="shared" si="11"/>
        <v>5842</v>
      </c>
      <c r="L23" s="11">
        <f t="shared" si="22"/>
        <v>1797</v>
      </c>
      <c r="M23" s="11">
        <f t="shared" si="14"/>
        <v>21232</v>
      </c>
      <c r="N23" s="52">
        <f t="shared" si="23"/>
        <v>6533</v>
      </c>
      <c r="O23" s="11">
        <f t="shared" ref="O23:P23" si="34">SUM(K23,M23)</f>
        <v>27074</v>
      </c>
      <c r="P23" s="11">
        <f t="shared" si="34"/>
        <v>8330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53" t="s">
        <v>169</v>
      </c>
      <c r="B1" s="53" t="s">
        <v>170</v>
      </c>
    </row>
    <row r="2">
      <c r="A2" s="8" t="s">
        <v>54</v>
      </c>
      <c r="B2" s="48">
        <v>331.0</v>
      </c>
    </row>
    <row r="3">
      <c r="A3" s="8" t="s">
        <v>171</v>
      </c>
      <c r="B3" s="48">
        <v>259.0</v>
      </c>
    </row>
    <row r="4">
      <c r="A4" s="8" t="s">
        <v>172</v>
      </c>
      <c r="B4" s="48">
        <v>29.0</v>
      </c>
    </row>
    <row r="5">
      <c r="A5" s="8" t="s">
        <v>173</v>
      </c>
      <c r="B5" s="48">
        <v>5414.0</v>
      </c>
    </row>
    <row r="6">
      <c r="A6" s="8" t="s">
        <v>174</v>
      </c>
      <c r="B6" s="48">
        <v>16000.0</v>
      </c>
    </row>
    <row r="7">
      <c r="A7" s="8" t="s">
        <v>175</v>
      </c>
      <c r="B7" s="48">
        <v>247.0</v>
      </c>
    </row>
    <row r="8">
      <c r="A8" s="8" t="s">
        <v>176</v>
      </c>
      <c r="B8" s="48">
        <v>1000.0</v>
      </c>
    </row>
    <row r="9">
      <c r="A9" s="8" t="s">
        <v>177</v>
      </c>
      <c r="B9" s="48">
        <v>1000.0</v>
      </c>
    </row>
    <row r="10">
      <c r="A10" s="8" t="s">
        <v>48</v>
      </c>
      <c r="B10" s="48">
        <v>3000.0</v>
      </c>
    </row>
    <row r="11">
      <c r="A11" s="8" t="s">
        <v>178</v>
      </c>
      <c r="B11" s="48">
        <v>500.0</v>
      </c>
    </row>
    <row r="12">
      <c r="A12" s="8" t="s">
        <v>179</v>
      </c>
      <c r="B12" s="48">
        <v>500.0</v>
      </c>
    </row>
    <row r="13">
      <c r="B13" s="54"/>
    </row>
    <row r="14">
      <c r="A14" s="55" t="s">
        <v>180</v>
      </c>
      <c r="B14" s="56" t="s">
        <v>170</v>
      </c>
    </row>
    <row r="15">
      <c r="A15" s="8" t="s">
        <v>181</v>
      </c>
      <c r="B15" s="48">
        <v>25425.0</v>
      </c>
    </row>
    <row r="16">
      <c r="A16" s="8" t="s">
        <v>182</v>
      </c>
      <c r="B16" s="48">
        <v>4288.0</v>
      </c>
    </row>
    <row r="23">
      <c r="A23" s="13" t="s">
        <v>183</v>
      </c>
      <c r="B23" s="13">
        <v>1847.0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0"/>
    <col customWidth="1" min="3" max="3" width="9.63"/>
    <col customWidth="1" min="4" max="4" width="8.13"/>
    <col customWidth="1" min="5" max="5" width="9.0"/>
    <col customWidth="1" min="6" max="6" width="8.88"/>
    <col customWidth="1" min="7" max="7" width="9.38"/>
    <col customWidth="1" min="8" max="8" width="10.5"/>
    <col customWidth="1" min="9" max="9" width="9.88"/>
    <col customWidth="1" min="10" max="11" width="10.63"/>
    <col customWidth="1" min="12" max="12" width="14.5"/>
    <col customWidth="1" min="13" max="13" width="11.38"/>
    <col customWidth="1" min="14" max="14" width="10.63"/>
    <col customWidth="1" min="15" max="15" width="9.88"/>
  </cols>
  <sheetData>
    <row r="2">
      <c r="A2" s="57" t="s">
        <v>143</v>
      </c>
      <c r="B2" s="57" t="s">
        <v>1</v>
      </c>
      <c r="C2" s="58" t="s">
        <v>184</v>
      </c>
      <c r="D2" s="59" t="s">
        <v>52</v>
      </c>
      <c r="E2" s="59" t="s">
        <v>45</v>
      </c>
      <c r="F2" s="59" t="s">
        <v>69</v>
      </c>
      <c r="G2" s="59" t="s">
        <v>43</v>
      </c>
      <c r="H2" s="59" t="s">
        <v>174</v>
      </c>
      <c r="I2" s="59" t="s">
        <v>185</v>
      </c>
      <c r="J2" s="59" t="s">
        <v>186</v>
      </c>
      <c r="K2" s="59" t="s">
        <v>187</v>
      </c>
      <c r="L2" s="44" t="s">
        <v>188</v>
      </c>
      <c r="M2" s="44" t="s">
        <v>189</v>
      </c>
      <c r="N2" s="44" t="s">
        <v>190</v>
      </c>
      <c r="O2" s="60" t="s">
        <v>169</v>
      </c>
      <c r="P2" s="57" t="s">
        <v>191</v>
      </c>
    </row>
    <row r="3">
      <c r="A3" s="8">
        <v>2026.0</v>
      </c>
      <c r="B3" s="8" t="s">
        <v>166</v>
      </c>
      <c r="C3" s="11">
        <f>'Överföringar'!F12</f>
        <v>30844</v>
      </c>
      <c r="D3" s="8">
        <v>209.0</v>
      </c>
      <c r="E3" s="8">
        <v>199.0</v>
      </c>
      <c r="F3" s="8">
        <v>29.0</v>
      </c>
      <c r="G3" s="8">
        <v>1360.0</v>
      </c>
      <c r="H3" s="11">
        <f>'Överföringar'!M12</f>
        <v>13267</v>
      </c>
      <c r="I3" s="11">
        <f>'Överföringar'!N12</f>
        <v>4502</v>
      </c>
      <c r="J3" s="11">
        <f>138</f>
        <v>138</v>
      </c>
      <c r="K3" s="11"/>
      <c r="L3" s="11"/>
      <c r="M3" s="11"/>
      <c r="N3" s="11">
        <f>1000</f>
        <v>1000</v>
      </c>
      <c r="O3" s="11">
        <f>SUM(D3:J3)</f>
        <v>19704</v>
      </c>
      <c r="P3" s="11">
        <f t="shared" ref="P3:P4" si="1">C3-O3</f>
        <v>11140</v>
      </c>
    </row>
    <row r="4">
      <c r="A4" s="8">
        <v>2026.0</v>
      </c>
      <c r="B4" s="8" t="s">
        <v>167</v>
      </c>
      <c r="C4" s="11">
        <f>'Överföringar'!F13 + 26057</f>
        <v>68977</v>
      </c>
      <c r="D4" s="8">
        <v>9.0</v>
      </c>
      <c r="E4" s="8">
        <v>199.0</v>
      </c>
      <c r="F4" s="8">
        <v>29.0</v>
      </c>
      <c r="G4" s="8">
        <v>1360.0</v>
      </c>
      <c r="H4" s="11">
        <f>'Överföringar'!M13</f>
        <v>20527</v>
      </c>
      <c r="I4" s="11">
        <f>'Överföringar'!N13</f>
        <v>6279</v>
      </c>
      <c r="J4" s="8">
        <v>138.0</v>
      </c>
      <c r="K4" s="8">
        <v>2775.0</v>
      </c>
      <c r="L4" s="11"/>
      <c r="M4" s="11"/>
      <c r="N4" s="8">
        <v>1000.0</v>
      </c>
      <c r="O4" s="11">
        <f>SUM(D4:K4)</f>
        <v>31316</v>
      </c>
      <c r="P4" s="11">
        <f t="shared" si="1"/>
        <v>37661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1"/>
      <c r="B14" s="11"/>
      <c r="C14" s="4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</sheetData>
  <drawing r:id="rId1"/>
</worksheet>
</file>